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u641277\Documents\GitHub\Verktyg\"/>
    </mc:Choice>
  </mc:AlternateContent>
  <bookViews>
    <workbookView xWindow="0" yWindow="465" windowWidth="25515" windowHeight="14475"/>
  </bookViews>
  <sheets>
    <sheet name="Alla år" sheetId="1" r:id="rId1"/>
    <sheet name="Formler" sheetId="2" r:id="rId2"/>
  </sheets>
  <definedNames>
    <definedName name="solver_adj" localSheetId="0" hidden="1">'Alla år'!$B$35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opt" localSheetId="0" hidden="1">'Alla år'!$G$37</definedName>
    <definedName name="solver_pre" localSheetId="0" hidden="1">0.000001</definedName>
    <definedName name="solver_rbv" localSheetId="0" hidden="1">1</definedName>
    <definedName name="solver_rlx" localSheetId="0" hidden="1">1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398339</definedName>
    <definedName name="solver_ver" localSheetId="0" hidden="1">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5" i="1" l="1"/>
  <c r="G20" i="1" l="1"/>
  <c r="B51" i="1"/>
  <c r="B114" i="1"/>
  <c r="B108" i="1"/>
  <c r="B34" i="2"/>
  <c r="G30" i="1"/>
  <c r="B37" i="1"/>
  <c r="B70" i="1" s="1"/>
  <c r="C70" i="1" s="1"/>
  <c r="D70" i="1" s="1"/>
  <c r="E70" i="1" s="1"/>
  <c r="F70" i="1" s="1"/>
  <c r="G70" i="1" s="1"/>
  <c r="H70" i="1" s="1"/>
  <c r="I70" i="1" s="1"/>
  <c r="J70" i="1" s="1"/>
  <c r="K70" i="1" s="1"/>
  <c r="F11" i="2"/>
  <c r="B16" i="2"/>
  <c r="F20" i="2"/>
  <c r="F26" i="2"/>
  <c r="F19" i="2"/>
  <c r="F15" i="2"/>
  <c r="F14" i="2"/>
  <c r="F13" i="2"/>
  <c r="F12" i="2"/>
  <c r="F6" i="2"/>
  <c r="F8" i="2" s="1"/>
  <c r="B12" i="2"/>
  <c r="B11" i="1"/>
  <c r="K53" i="1"/>
  <c r="J53" i="1"/>
  <c r="I53" i="1"/>
  <c r="H53" i="1"/>
  <c r="G53" i="1"/>
  <c r="F53" i="1"/>
  <c r="E53" i="1"/>
  <c r="D53" i="1"/>
  <c r="C53" i="1"/>
  <c r="B53" i="1"/>
  <c r="K51" i="1"/>
  <c r="J51" i="1"/>
  <c r="I51" i="1"/>
  <c r="H51" i="1"/>
  <c r="G51" i="1"/>
  <c r="F51" i="1"/>
  <c r="E51" i="1"/>
  <c r="D51" i="1"/>
  <c r="C51" i="1"/>
  <c r="B106" i="1" l="1"/>
  <c r="B32" i="1"/>
  <c r="B91" i="1"/>
  <c r="B93" i="1" s="1"/>
  <c r="H15" i="1"/>
  <c r="F27" i="2"/>
  <c r="F28" i="2" s="1"/>
  <c r="F30" i="2" s="1"/>
  <c r="F16" i="2"/>
  <c r="C52" i="1"/>
  <c r="D52" i="1"/>
  <c r="E52" i="1"/>
  <c r="F52" i="1"/>
  <c r="G52" i="1"/>
  <c r="H52" i="1"/>
  <c r="I52" i="1"/>
  <c r="J52" i="1"/>
  <c r="K52" i="1"/>
  <c r="C42" i="1"/>
  <c r="D42" i="1" s="1"/>
  <c r="E42" i="1" s="1"/>
  <c r="F42" i="1" s="1"/>
  <c r="G42" i="1" s="1"/>
  <c r="H42" i="1" s="1"/>
  <c r="I42" i="1" s="1"/>
  <c r="J42" i="1" s="1"/>
  <c r="K42" i="1" s="1"/>
  <c r="G21" i="1" l="1"/>
  <c r="G23" i="1" s="1"/>
  <c r="F34" i="2"/>
  <c r="G7" i="1"/>
  <c r="B52" i="1"/>
  <c r="B56" i="1"/>
  <c r="B48" i="1"/>
  <c r="B12" i="1"/>
  <c r="B16" i="1"/>
  <c r="B45" i="1"/>
  <c r="B50" i="1" s="1"/>
  <c r="B59" i="1" l="1"/>
  <c r="B47" i="1"/>
  <c r="C48" i="1"/>
  <c r="G9" i="1"/>
  <c r="G14" i="1"/>
  <c r="G15" i="1"/>
  <c r="F44" i="1"/>
  <c r="B54" i="1" l="1"/>
  <c r="D48" i="1"/>
  <c r="G44" i="1"/>
  <c r="H44" i="1"/>
  <c r="K44" i="1"/>
  <c r="B44" i="1"/>
  <c r="J44" i="1"/>
  <c r="E44" i="1"/>
  <c r="C44" i="1"/>
  <c r="D44" i="1"/>
  <c r="I44" i="1"/>
  <c r="C59" i="1" l="1"/>
  <c r="E48" i="1"/>
  <c r="C45" i="1"/>
  <c r="C50" i="1" l="1"/>
  <c r="F48" i="1"/>
  <c r="G48" i="1" s="1"/>
  <c r="D45" i="1"/>
  <c r="D50" i="1" s="1"/>
  <c r="D54" i="1" s="1"/>
  <c r="C47" i="1"/>
  <c r="D59" i="1" l="1"/>
  <c r="C54" i="1"/>
  <c r="E45" i="1"/>
  <c r="D47" i="1"/>
  <c r="H48" i="1"/>
  <c r="E50" i="1" l="1"/>
  <c r="E47" i="1"/>
  <c r="F45" i="1"/>
  <c r="F50" i="1" s="1"/>
  <c r="F54" i="1" s="1"/>
  <c r="I48" i="1"/>
  <c r="E59" i="1" l="1"/>
  <c r="E54" i="1"/>
  <c r="G45" i="1"/>
  <c r="G50" i="1" s="1"/>
  <c r="G54" i="1" s="1"/>
  <c r="F47" i="1"/>
  <c r="J48" i="1"/>
  <c r="G47" i="1" l="1"/>
  <c r="H45" i="1"/>
  <c r="K48" i="1"/>
  <c r="G27" i="1" s="1"/>
  <c r="G13" i="1"/>
  <c r="G28" i="1" l="1"/>
  <c r="G33" i="1" s="1"/>
  <c r="F59" i="1"/>
  <c r="H50" i="1"/>
  <c r="I45" i="1"/>
  <c r="I50" i="1" s="1"/>
  <c r="I54" i="1" s="1"/>
  <c r="H47" i="1"/>
  <c r="K56" i="1"/>
  <c r="G59" i="1" l="1"/>
  <c r="H54" i="1"/>
  <c r="J45" i="1"/>
  <c r="J50" i="1" s="1"/>
  <c r="J54" i="1" s="1"/>
  <c r="I47" i="1"/>
  <c r="H59" i="1" l="1"/>
  <c r="J47" i="1"/>
  <c r="K45" i="1"/>
  <c r="I59" i="1" l="1"/>
  <c r="K47" i="1"/>
  <c r="K50" i="1"/>
  <c r="J59" i="1" l="1"/>
  <c r="K59" i="1" s="1"/>
  <c r="G12" i="1"/>
  <c r="G16" i="1" s="1"/>
  <c r="G37" i="1" s="1"/>
  <c r="K54" i="1"/>
  <c r="B116" i="1" l="1"/>
  <c r="B113" i="1"/>
  <c r="B35" i="1"/>
  <c r="B97" i="1" l="1"/>
  <c r="B98" i="1"/>
  <c r="B71" i="1"/>
  <c r="B69" i="1"/>
  <c r="B82" i="1" l="1"/>
  <c r="B72" i="1"/>
  <c r="B76" i="1"/>
  <c r="B105" i="1"/>
  <c r="B95" i="1"/>
  <c r="B99" i="1" s="1"/>
  <c r="B103" i="1" s="1"/>
  <c r="C69" i="1"/>
  <c r="B107" i="1"/>
  <c r="B109" i="1" s="1"/>
  <c r="B75" i="1"/>
  <c r="B83" i="1"/>
  <c r="C82" i="1"/>
  <c r="C83" i="1"/>
  <c r="H8" i="1"/>
  <c r="H9" i="1" s="1"/>
  <c r="C75" i="1"/>
  <c r="K71" i="1"/>
  <c r="H34" i="1" s="1"/>
  <c r="B84" i="1" l="1"/>
  <c r="C84" i="1"/>
  <c r="D75" i="1"/>
  <c r="B79" i="1"/>
  <c r="B77" i="1"/>
  <c r="D69" i="1"/>
  <c r="C72" i="1"/>
  <c r="B86" i="1" l="1"/>
  <c r="D72" i="1"/>
  <c r="E69" i="1"/>
  <c r="F69" i="1" l="1"/>
  <c r="E72" i="1"/>
  <c r="F72" i="1" l="1"/>
  <c r="G69" i="1"/>
  <c r="G72" i="1" l="1"/>
  <c r="H69" i="1"/>
  <c r="I69" i="1" l="1"/>
  <c r="H72" i="1"/>
  <c r="J69" i="1" l="1"/>
  <c r="I72" i="1"/>
  <c r="K69" i="1" l="1"/>
  <c r="J72" i="1"/>
  <c r="K72" i="1" l="1"/>
  <c r="H22" i="1" s="1"/>
  <c r="H23" i="1" s="1"/>
  <c r="H14" i="1"/>
  <c r="H16" i="1" s="1"/>
  <c r="H37" i="1" l="1"/>
</calcChain>
</file>

<file path=xl/sharedStrings.xml><?xml version="1.0" encoding="utf-8"?>
<sst xmlns="http://schemas.openxmlformats.org/spreadsheetml/2006/main" count="191" uniqueCount="103">
  <si>
    <t>År</t>
  </si>
  <si>
    <t>För att köpa</t>
  </si>
  <si>
    <t>Tid i bostaden</t>
  </si>
  <si>
    <t>Hyra tillväxttakt</t>
  </si>
  <si>
    <t>Avkastning investeringar</t>
  </si>
  <si>
    <t>Huspriser tillväxttakt</t>
  </si>
  <si>
    <t>Initiala kostnader</t>
  </si>
  <si>
    <t>Köpa</t>
  </si>
  <si>
    <t>Hyra</t>
  </si>
  <si>
    <t>Mäklararvode</t>
  </si>
  <si>
    <t>Renoveringar</t>
  </si>
  <si>
    <t>Huspris</t>
  </si>
  <si>
    <t>Framtiden</t>
  </si>
  <si>
    <t>Bolån</t>
  </si>
  <si>
    <t>Kontantinsats</t>
  </si>
  <si>
    <t>Lånemängd</t>
  </si>
  <si>
    <t>Skatteavdrag</t>
  </si>
  <si>
    <t>Skuldsättningsgrad</t>
  </si>
  <si>
    <t>Inkomst (För amorteringskrav)</t>
  </si>
  <si>
    <t>Sammanställning kostnader</t>
  </si>
  <si>
    <t>Avgift</t>
  </si>
  <si>
    <t>Övriga kostnader</t>
  </si>
  <si>
    <t>Räntekostnader efter avdrag</t>
  </si>
  <si>
    <t>Bostadsvärde</t>
  </si>
  <si>
    <t>Inflation</t>
  </si>
  <si>
    <t>Löpande kostnader</t>
  </si>
  <si>
    <t>Alternativkostnader</t>
  </si>
  <si>
    <t>Nettoprisökning</t>
  </si>
  <si>
    <t>Amortering (minikrav)</t>
  </si>
  <si>
    <t>Amortering år 1</t>
  </si>
  <si>
    <t>Belåningsgrad</t>
  </si>
  <si>
    <t>Ränta efter skatt</t>
  </si>
  <si>
    <t xml:space="preserve">Renoveringar (beräknat på husvärdet i början av året) </t>
  </si>
  <si>
    <t>Investering</t>
  </si>
  <si>
    <t>Skatt på investerat belopp (antar ISK)</t>
  </si>
  <si>
    <t>ISK skattesats</t>
  </si>
  <si>
    <t>Deposition</t>
  </si>
  <si>
    <t>Bolån och amorteringar</t>
  </si>
  <si>
    <t>Kostnader, löpande</t>
  </si>
  <si>
    <t>Engångskostnader</t>
  </si>
  <si>
    <t>Räntor</t>
  </si>
  <si>
    <t>-</t>
  </si>
  <si>
    <t>Summa</t>
  </si>
  <si>
    <t>Prisökning</t>
  </si>
  <si>
    <t>Skattepliktigt belopp = vinst - mäklararvode/försäljningsutgifter - renoveringar</t>
  </si>
  <si>
    <t>Skattepliktigt belopp</t>
  </si>
  <si>
    <t xml:space="preserve"> 22/30 av vinsten beskattas med 30 %</t>
  </si>
  <si>
    <t xml:space="preserve">Kommentar: </t>
  </si>
  <si>
    <t>Förmögenhet i slutet</t>
  </si>
  <si>
    <t>Reavinstskatt</t>
  </si>
  <si>
    <t>Totalt alla poster</t>
  </si>
  <si>
    <t>Alternatkostnad, kontantinsats</t>
  </si>
  <si>
    <t>Alternativkostnad, alla andra kostnader</t>
  </si>
  <si>
    <t>Hyreskostnader</t>
  </si>
  <si>
    <t>Hyra per månad år 1</t>
  </si>
  <si>
    <t xml:space="preserve">Hyreskostnad (månadskostnad x 12) </t>
  </si>
  <si>
    <t>Deposition (i månadshyror)</t>
  </si>
  <si>
    <t>Avgift/hyra</t>
  </si>
  <si>
    <t>Tillbakabetald kontantinsats/deposition</t>
  </si>
  <si>
    <t>För att hyra</t>
  </si>
  <si>
    <t xml:space="preserve"> </t>
  </si>
  <si>
    <t>Hus eller lägenhet?</t>
  </si>
  <si>
    <t>Andra kostnader</t>
  </si>
  <si>
    <t>Lägenhet</t>
  </si>
  <si>
    <t>Ränta, topplån</t>
  </si>
  <si>
    <t>Ränta, bottenlån</t>
  </si>
  <si>
    <t>Alternativkostnad, amorteringar</t>
  </si>
  <si>
    <t>Försäkringar</t>
  </si>
  <si>
    <t>Tid</t>
  </si>
  <si>
    <t>Betalningar</t>
  </si>
  <si>
    <t>Alternativkostnad</t>
  </si>
  <si>
    <t>Hyra + deposition</t>
  </si>
  <si>
    <t>Totala hyresbetalningar</t>
  </si>
  <si>
    <t>Totalt</t>
  </si>
  <si>
    <t>Andra hyreskostnader</t>
  </si>
  <si>
    <t xml:space="preserve">Andra kostnader </t>
  </si>
  <si>
    <t>Alternativkostnad, ökning</t>
  </si>
  <si>
    <t xml:space="preserve">Alternativkostnad </t>
  </si>
  <si>
    <t xml:space="preserve">Sammanlagt öknng - (sum av hyra/deposition) </t>
  </si>
  <si>
    <t>Sum av hyra/deposition</t>
  </si>
  <si>
    <t>Formler</t>
  </si>
  <si>
    <t>Vinster</t>
  </si>
  <si>
    <t xml:space="preserve">(totalabetalningar*(((1 + r_stocks)^(tid) - 1) / (r_stocks)))-totalabetalningar*tid </t>
  </si>
  <si>
    <t>Totala betalningar för att köpa</t>
  </si>
  <si>
    <t>Amorteringar och betalingar</t>
  </si>
  <si>
    <t>Prisökning efter skatt</t>
  </si>
  <si>
    <t xml:space="preserve">Amorteringar </t>
  </si>
  <si>
    <t>kontantinsats</t>
  </si>
  <si>
    <t>Andra hyra</t>
  </si>
  <si>
    <t>Sum hyra</t>
  </si>
  <si>
    <t>Alternativkostnad Hyra</t>
  </si>
  <si>
    <t>Alternativkostnad deposition</t>
  </si>
  <si>
    <t>Sum alternativkostnad</t>
  </si>
  <si>
    <t>Sum löpande</t>
  </si>
  <si>
    <t>Sammanlagt</t>
  </si>
  <si>
    <t>Hyra med en formel</t>
  </si>
  <si>
    <t>Övre delen</t>
  </si>
  <si>
    <t>Totala kostnader med en formel:</t>
  </si>
  <si>
    <t>sista biten</t>
  </si>
  <si>
    <t>Alla delar</t>
  </si>
  <si>
    <t>Nedre delen</t>
  </si>
  <si>
    <t>rstocks!=hyresökning</t>
  </si>
  <si>
    <t>rstocks==hyresökning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</si>
</sst>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3" formatCode="_-* #,##0.00_-;\-* #,##0.00_-;_-* &quot;-&quot;??_-;_-@_-"/>
    <numFmt numFmtId="164" formatCode="_-* #,##0.00\ _k_r_-;\-* #,##0.00\ _k_r_-;_-* &quot;-&quot;??\ _k_r_-;_-@_-"/>
    <numFmt numFmtId="165" formatCode="_-* #,##0.000_-;\-* #,##0.000_-;_-* &quot;-&quot;??_-;_-@_-"/>
    <numFmt numFmtId="166" formatCode="_-* #,##0_-;\-* #,##0_-;_-* &quot;-&quot;??_-;_-@_-"/>
    <numFmt numFmtId="167" formatCode="_-* #,##0\ _k_r_-;\-* #,##0\ _k_r_-;_-* &quot;-&quot;??\ _k_r_-;_-@_-"/>
    <numFmt numFmtId="168" formatCode="0.000%"/>
    <numFmt numFmtId="169" formatCode="_-* #,##0.000\ _k_r_-;\-* #,##0.000\ _k_r_-;_-* &quot;-&quot;???\ _k_r_-;_-@_-"/>
    <numFmt numFmtId="170" formatCode="_-* #,##0.0000_-;\-* #,##0.0000_-;_-* &quot;-&quot;??_-;_-@_-"/>
    <numFmt numFmtId="171" formatCode="_-* #,##0.00000_-;\-* #,##0.00000_-;_-* &quot;-&quot;??_-;_-@_-"/>
    <numFmt numFmtId="172" formatCode="_-* #,##0.000000000_-;\-* #,##0.000000000_-;_-* &quot;-&quot;??_-;_-@_-"/>
    <numFmt numFmtId="173" formatCode="_-* #,##0.0_-;\-* #,##0.0_-;_-* &quot;-&quot;??_-;_-@_-"/>
    <numFmt numFmtId="176" formatCode="0.0000%"/>
  </numFmts>
  <fonts count="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rgb="FF3E3F3A"/>
      <name val="Helvetica Neue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8">
    <xf numFmtId="0" fontId="0" fillId="0" borderId="0" xfId="0"/>
    <xf numFmtId="9" fontId="0" fillId="0" borderId="0" xfId="0" applyNumberFormat="1"/>
    <xf numFmtId="9" fontId="0" fillId="0" borderId="0" xfId="2" applyFont="1"/>
    <xf numFmtId="0" fontId="2" fillId="0" borderId="0" xfId="0" applyFont="1"/>
    <xf numFmtId="166" fontId="0" fillId="0" borderId="0" xfId="1" applyNumberFormat="1" applyFont="1"/>
    <xf numFmtId="0" fontId="0" fillId="0" borderId="0" xfId="0" applyFont="1"/>
    <xf numFmtId="166" fontId="0" fillId="0" borderId="0" xfId="0" applyNumberFormat="1"/>
    <xf numFmtId="10" fontId="0" fillId="0" borderId="0" xfId="0" applyNumberFormat="1"/>
    <xf numFmtId="43" fontId="0" fillId="0" borderId="0" xfId="0" applyNumberFormat="1"/>
    <xf numFmtId="10" fontId="0" fillId="0" borderId="0" xfId="2" applyNumberFormat="1" applyFont="1"/>
    <xf numFmtId="0" fontId="2" fillId="0" borderId="0" xfId="0" applyFont="1" applyAlignment="1">
      <alignment horizontal="center"/>
    </xf>
    <xf numFmtId="0" fontId="0" fillId="0" borderId="0" xfId="0" applyBorder="1"/>
    <xf numFmtId="164" fontId="0" fillId="0" borderId="0" xfId="0" applyNumberFormat="1"/>
    <xf numFmtId="0" fontId="0" fillId="0" borderId="0" xfId="0" applyFill="1" applyBorder="1"/>
    <xf numFmtId="9" fontId="2" fillId="0" borderId="0" xfId="0" applyNumberFormat="1" applyFont="1"/>
    <xf numFmtId="168" fontId="0" fillId="0" borderId="0" xfId="0" applyNumberFormat="1"/>
    <xf numFmtId="166" fontId="0" fillId="0" borderId="0" xfId="0" applyNumberFormat="1" applyBorder="1"/>
    <xf numFmtId="167" fontId="0" fillId="0" borderId="0" xfId="0" applyNumberFormat="1" applyBorder="1"/>
    <xf numFmtId="0" fontId="2" fillId="0" borderId="0" xfId="0" applyFont="1" applyBorder="1"/>
    <xf numFmtId="166" fontId="0" fillId="2" borderId="0" xfId="0" applyNumberFormat="1" applyFill="1" applyBorder="1"/>
    <xf numFmtId="167" fontId="0" fillId="2" borderId="0" xfId="0" applyNumberFormat="1" applyFill="1" applyBorder="1"/>
    <xf numFmtId="0" fontId="0" fillId="2" borderId="3" xfId="0" applyFont="1" applyFill="1" applyBorder="1"/>
    <xf numFmtId="167" fontId="0" fillId="2" borderId="7" xfId="0" applyNumberFormat="1" applyFill="1" applyBorder="1"/>
    <xf numFmtId="0" fontId="0" fillId="2" borderId="3" xfId="0" applyFill="1" applyBorder="1"/>
    <xf numFmtId="166" fontId="0" fillId="2" borderId="7" xfId="0" applyNumberFormat="1" applyFill="1" applyBorder="1"/>
    <xf numFmtId="0" fontId="0" fillId="3" borderId="0" xfId="0" applyFill="1" applyBorder="1"/>
    <xf numFmtId="0" fontId="0" fillId="4" borderId="3" xfId="0" applyFill="1" applyBorder="1"/>
    <xf numFmtId="166" fontId="0" fillId="4" borderId="0" xfId="0" applyNumberFormat="1" applyFill="1" applyBorder="1"/>
    <xf numFmtId="166" fontId="0" fillId="4" borderId="7" xfId="0" applyNumberFormat="1" applyFill="1" applyBorder="1"/>
    <xf numFmtId="0" fontId="0" fillId="4" borderId="4" xfId="0" applyFill="1" applyBorder="1"/>
    <xf numFmtId="43" fontId="0" fillId="4" borderId="5" xfId="1" applyNumberFormat="1" applyFont="1" applyFill="1" applyBorder="1"/>
    <xf numFmtId="43" fontId="0" fillId="4" borderId="8" xfId="1" applyNumberFormat="1" applyFont="1" applyFill="1" applyBorder="1"/>
    <xf numFmtId="0" fontId="2" fillId="5" borderId="1" xfId="0" applyFont="1" applyFill="1" applyBorder="1"/>
    <xf numFmtId="0" fontId="2" fillId="5" borderId="2" xfId="0" applyFont="1" applyFill="1" applyBorder="1"/>
    <xf numFmtId="0" fontId="2" fillId="5" borderId="6" xfId="0" applyFont="1" applyFill="1" applyBorder="1"/>
    <xf numFmtId="0" fontId="0" fillId="5" borderId="3" xfId="0" applyFill="1" applyBorder="1"/>
    <xf numFmtId="166" fontId="0" fillId="5" borderId="0" xfId="1" applyNumberFormat="1" applyFont="1" applyFill="1" applyBorder="1"/>
    <xf numFmtId="166" fontId="0" fillId="5" borderId="7" xfId="1" applyNumberFormat="1" applyFont="1" applyFill="1" applyBorder="1"/>
    <xf numFmtId="166" fontId="0" fillId="5" borderId="0" xfId="0" applyNumberFormat="1" applyFill="1" applyBorder="1"/>
    <xf numFmtId="167" fontId="0" fillId="5" borderId="0" xfId="0" applyNumberFormat="1" applyFill="1" applyBorder="1"/>
    <xf numFmtId="167" fontId="0" fillId="5" borderId="7" xfId="0" applyNumberFormat="1" applyFill="1" applyBorder="1"/>
    <xf numFmtId="10" fontId="0" fillId="5" borderId="0" xfId="2" applyNumberFormat="1" applyFont="1" applyFill="1" applyBorder="1"/>
    <xf numFmtId="10" fontId="0" fillId="5" borderId="7" xfId="2" applyNumberFormat="1" applyFont="1" applyFill="1" applyBorder="1"/>
    <xf numFmtId="0" fontId="2" fillId="6" borderId="1" xfId="0" applyFont="1" applyFill="1" applyBorder="1"/>
    <xf numFmtId="0" fontId="0" fillId="6" borderId="4" xfId="0" applyFill="1" applyBorder="1"/>
    <xf numFmtId="0" fontId="2" fillId="6" borderId="5" xfId="0" applyFont="1" applyFill="1" applyBorder="1"/>
    <xf numFmtId="0" fontId="2" fillId="6" borderId="8" xfId="0" applyFont="1" applyFill="1" applyBorder="1"/>
    <xf numFmtId="0" fontId="2" fillId="6" borderId="4" xfId="0" applyFont="1" applyFill="1" applyBorder="1"/>
    <xf numFmtId="164" fontId="2" fillId="0" borderId="0" xfId="0" applyNumberFormat="1" applyFont="1"/>
    <xf numFmtId="166" fontId="2" fillId="0" borderId="0" xfId="0" applyNumberFormat="1" applyFont="1"/>
    <xf numFmtId="166" fontId="0" fillId="3" borderId="0" xfId="0" applyNumberFormat="1" applyFill="1" applyBorder="1"/>
    <xf numFmtId="0" fontId="0" fillId="6" borderId="3" xfId="0" applyFill="1" applyBorder="1"/>
    <xf numFmtId="0" fontId="2" fillId="6" borderId="3" xfId="0" applyFont="1" applyFill="1" applyBorder="1"/>
    <xf numFmtId="0" fontId="2" fillId="6" borderId="0" xfId="0" applyFont="1" applyFill="1" applyBorder="1"/>
    <xf numFmtId="0" fontId="0" fillId="4" borderId="0" xfId="0" applyFill="1" applyBorder="1"/>
    <xf numFmtId="0" fontId="2" fillId="6" borderId="7" xfId="0" applyFont="1" applyFill="1" applyBorder="1"/>
    <xf numFmtId="166" fontId="0" fillId="5" borderId="7" xfId="0" applyNumberFormat="1" applyFill="1" applyBorder="1"/>
    <xf numFmtId="0" fontId="2" fillId="2" borderId="3" xfId="0" applyFont="1" applyFill="1" applyBorder="1"/>
    <xf numFmtId="0" fontId="2" fillId="3" borderId="3" xfId="0" applyFont="1" applyFill="1" applyBorder="1"/>
    <xf numFmtId="0" fontId="0" fillId="3" borderId="7" xfId="0" applyFill="1" applyBorder="1"/>
    <xf numFmtId="0" fontId="0" fillId="3" borderId="3" xfId="0" applyFill="1" applyBorder="1"/>
    <xf numFmtId="166" fontId="0" fillId="3" borderId="7" xfId="0" applyNumberFormat="1" applyFill="1" applyBorder="1"/>
    <xf numFmtId="0" fontId="2" fillId="4" borderId="3" xfId="0" applyFont="1" applyFill="1" applyBorder="1"/>
    <xf numFmtId="165" fontId="2" fillId="6" borderId="0" xfId="1" applyNumberFormat="1" applyFont="1" applyFill="1" applyBorder="1"/>
    <xf numFmtId="169" fontId="2" fillId="6" borderId="0" xfId="0" applyNumberFormat="1" applyFont="1" applyFill="1" applyBorder="1"/>
    <xf numFmtId="166" fontId="0" fillId="0" borderId="0" xfId="0" applyNumberFormat="1" applyFont="1"/>
    <xf numFmtId="166" fontId="2" fillId="0" borderId="0" xfId="1" applyNumberFormat="1" applyFont="1"/>
    <xf numFmtId="171" fontId="0" fillId="0" borderId="0" xfId="1" applyNumberFormat="1" applyFont="1" applyBorder="1"/>
    <xf numFmtId="170" fontId="0" fillId="0" borderId="0" xfId="0" applyNumberFormat="1" applyBorder="1"/>
    <xf numFmtId="172" fontId="0" fillId="0" borderId="0" xfId="0" applyNumberFormat="1"/>
    <xf numFmtId="0" fontId="2" fillId="0" borderId="0" xfId="0" applyFont="1" applyAlignment="1">
      <alignment horizontal="center"/>
    </xf>
    <xf numFmtId="167" fontId="2" fillId="0" borderId="0" xfId="0" applyNumberFormat="1" applyFont="1"/>
    <xf numFmtId="167" fontId="0" fillId="0" borderId="0" xfId="0" applyNumberFormat="1"/>
    <xf numFmtId="164" fontId="3" fillId="0" borderId="0" xfId="0" applyNumberFormat="1" applyFont="1"/>
    <xf numFmtId="43" fontId="0" fillId="0" borderId="0" xfId="1" applyFont="1"/>
    <xf numFmtId="170" fontId="0" fillId="0" borderId="0" xfId="1" applyNumberFormat="1" applyFont="1"/>
    <xf numFmtId="166" fontId="0" fillId="0" borderId="0" xfId="0" applyNumberFormat="1" applyAlignment="1">
      <alignment wrapText="1"/>
    </xf>
    <xf numFmtId="173" fontId="0" fillId="0" borderId="0" xfId="0" applyNumberFormat="1"/>
    <xf numFmtId="171" fontId="0" fillId="0" borderId="0" xfId="0" applyNumberFormat="1"/>
    <xf numFmtId="166" fontId="3" fillId="0" borderId="0" xfId="1" applyNumberFormat="1" applyFont="1"/>
    <xf numFmtId="0" fontId="2" fillId="0" borderId="0" xfId="0" applyFont="1" applyAlignment="1">
      <alignment horizontal="center"/>
    </xf>
    <xf numFmtId="0" fontId="2" fillId="8" borderId="0" xfId="0" applyFont="1" applyFill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176" fontId="0" fillId="0" borderId="0" xfId="2" applyNumberFormat="1" applyFont="1"/>
    <xf numFmtId="176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6"/>
  <sheetViews>
    <sheetView tabSelected="1" zoomScale="102" workbookViewId="0">
      <selection activeCell="C35" sqref="C35"/>
    </sheetView>
  </sheetViews>
  <sheetFormatPr defaultColWidth="11" defaultRowHeight="15.75"/>
  <cols>
    <col min="1" max="1" width="46.375" bestFit="1" customWidth="1"/>
    <col min="2" max="2" width="16" customWidth="1"/>
    <col min="3" max="3" width="23.375" bestFit="1" customWidth="1"/>
    <col min="4" max="5" width="12.5" bestFit="1" customWidth="1"/>
    <col min="6" max="6" width="43.5" bestFit="1" customWidth="1"/>
    <col min="7" max="7" width="75.875" customWidth="1"/>
    <col min="8" max="8" width="13.5" bestFit="1" customWidth="1"/>
    <col min="9" max="11" width="12.5" bestFit="1" customWidth="1"/>
    <col min="12" max="12" width="15" bestFit="1" customWidth="1"/>
  </cols>
  <sheetData>
    <row r="1" spans="1:8">
      <c r="A1" s="80" t="s">
        <v>19</v>
      </c>
      <c r="B1" s="80"/>
    </row>
    <row r="2" spans="1:8">
      <c r="A2" s="10"/>
      <c r="B2" s="10"/>
    </row>
    <row r="3" spans="1:8">
      <c r="A3" s="10" t="s">
        <v>61</v>
      </c>
      <c r="B3" s="10" t="s">
        <v>63</v>
      </c>
    </row>
    <row r="4" spans="1:8">
      <c r="A4" s="10"/>
      <c r="B4" s="10"/>
    </row>
    <row r="5" spans="1:8">
      <c r="A5" t="s">
        <v>18</v>
      </c>
      <c r="B5" s="4">
        <v>300000</v>
      </c>
      <c r="F5" s="3" t="s">
        <v>6</v>
      </c>
      <c r="G5" s="14" t="s">
        <v>7</v>
      </c>
      <c r="H5" s="3" t="s">
        <v>8</v>
      </c>
    </row>
    <row r="6" spans="1:8">
      <c r="A6" t="s">
        <v>11</v>
      </c>
      <c r="B6" s="4">
        <v>1000000</v>
      </c>
      <c r="F6" t="s">
        <v>9</v>
      </c>
      <c r="G6" s="6">
        <v>10000</v>
      </c>
      <c r="H6" t="s">
        <v>41</v>
      </c>
    </row>
    <row r="7" spans="1:8">
      <c r="A7" t="s">
        <v>2</v>
      </c>
      <c r="B7">
        <v>10</v>
      </c>
      <c r="F7" t="s">
        <v>14</v>
      </c>
      <c r="G7" s="6">
        <f>B8*B6</f>
        <v>150000</v>
      </c>
      <c r="H7" t="s">
        <v>41</v>
      </c>
    </row>
    <row r="8" spans="1:8">
      <c r="A8" t="s">
        <v>14</v>
      </c>
      <c r="B8" s="1">
        <v>0.15</v>
      </c>
      <c r="F8" t="s">
        <v>36</v>
      </c>
      <c r="G8" t="s">
        <v>41</v>
      </c>
      <c r="H8" s="4">
        <f>B71</f>
        <v>3061.1160154725289</v>
      </c>
    </row>
    <row r="9" spans="1:8">
      <c r="F9" s="3" t="s">
        <v>42</v>
      </c>
      <c r="G9" s="49">
        <f>SUM(G6:G8)</f>
        <v>160000</v>
      </c>
      <c r="H9" s="49">
        <f>SUM(H6:H8)</f>
        <v>3061.1160154725289</v>
      </c>
    </row>
    <row r="10" spans="1:8">
      <c r="A10" s="80" t="s">
        <v>13</v>
      </c>
      <c r="B10" s="80"/>
    </row>
    <row r="11" spans="1:8">
      <c r="A11" t="s">
        <v>15</v>
      </c>
      <c r="B11" s="6">
        <f>B6*(1-B8)</f>
        <v>850000</v>
      </c>
      <c r="F11" s="18" t="s">
        <v>25</v>
      </c>
      <c r="G11" s="11"/>
    </row>
    <row r="12" spans="1:8">
      <c r="A12" t="s">
        <v>17</v>
      </c>
      <c r="B12" s="2">
        <f>1-B8</f>
        <v>0.85</v>
      </c>
      <c r="F12" s="11" t="s">
        <v>40</v>
      </c>
      <c r="G12" s="17">
        <f>SUM(B50:K50)</f>
        <v>162435</v>
      </c>
    </row>
    <row r="13" spans="1:8">
      <c r="A13" s="5" t="s">
        <v>65</v>
      </c>
      <c r="B13" s="7">
        <v>0.03</v>
      </c>
      <c r="F13" s="11" t="s">
        <v>10</v>
      </c>
      <c r="G13" s="17">
        <f>SUM(B51:K51)</f>
        <v>100000</v>
      </c>
      <c r="H13" s="11"/>
    </row>
    <row r="14" spans="1:8">
      <c r="A14" s="5" t="s">
        <v>64</v>
      </c>
      <c r="F14" s="11" t="s">
        <v>57</v>
      </c>
      <c r="G14" s="17">
        <f>SUM(B52:K52)</f>
        <v>240000</v>
      </c>
      <c r="H14" s="16">
        <f>SUM(B69:K69)</f>
        <v>402220.39764592354</v>
      </c>
    </row>
    <row r="15" spans="1:8">
      <c r="A15" s="5" t="s">
        <v>16</v>
      </c>
      <c r="B15" s="1">
        <v>0.3</v>
      </c>
      <c r="F15" s="11" t="s">
        <v>21</v>
      </c>
      <c r="G15" s="17">
        <f>SUM(B53:K53)</f>
        <v>240000</v>
      </c>
      <c r="H15" s="6">
        <f>SUM(B70:K70)</f>
        <v>120000</v>
      </c>
    </row>
    <row r="16" spans="1:8">
      <c r="A16" s="5" t="s">
        <v>31</v>
      </c>
      <c r="B16" s="7">
        <f>B13*(1-B15)</f>
        <v>2.0999999999999998E-2</v>
      </c>
      <c r="F16" s="5" t="s">
        <v>42</v>
      </c>
      <c r="G16" s="49">
        <f>SUM(G12:G15)</f>
        <v>742435</v>
      </c>
      <c r="H16" s="65">
        <f>SUM(H12:H15)</f>
        <v>522220.39764592354</v>
      </c>
    </row>
    <row r="17" spans="1:9">
      <c r="A17" s="5" t="s">
        <v>29</v>
      </c>
      <c r="B17" s="9">
        <v>0.02</v>
      </c>
      <c r="F17" s="13" t="s">
        <v>60</v>
      </c>
      <c r="H17" s="11"/>
    </row>
    <row r="18" spans="1:9">
      <c r="A18" s="5"/>
      <c r="B18" s="1"/>
      <c r="G18" t="s">
        <v>82</v>
      </c>
    </row>
    <row r="19" spans="1:9">
      <c r="A19" s="80" t="s">
        <v>12</v>
      </c>
      <c r="B19" s="80"/>
      <c r="F19" s="3" t="s">
        <v>26</v>
      </c>
    </row>
    <row r="20" spans="1:9">
      <c r="A20" t="s">
        <v>5</v>
      </c>
      <c r="B20" s="2">
        <v>0.03</v>
      </c>
      <c r="F20" t="s">
        <v>14</v>
      </c>
      <c r="G20" s="6">
        <f>(B8*B6+G6)*(1+B22)^B25-B8*B6-G6</f>
        <v>35039.107199161139</v>
      </c>
      <c r="H20" t="s">
        <v>41</v>
      </c>
    </row>
    <row r="21" spans="1:9">
      <c r="A21" t="s">
        <v>3</v>
      </c>
      <c r="B21" s="86">
        <v>2.0000001E-2</v>
      </c>
      <c r="C21">
        <v>3048</v>
      </c>
      <c r="F21" t="s">
        <v>84</v>
      </c>
      <c r="G21" s="8">
        <f>B32*(((1+B22)^B25-1)/(B22))-B32*B25</f>
        <v>71229.074980339035</v>
      </c>
      <c r="H21" t="s">
        <v>41</v>
      </c>
    </row>
    <row r="22" spans="1:9">
      <c r="A22" t="s">
        <v>4</v>
      </c>
      <c r="B22" s="87">
        <v>0.02</v>
      </c>
      <c r="C22">
        <v>3061</v>
      </c>
      <c r="F22" t="s">
        <v>71</v>
      </c>
      <c r="H22" s="6">
        <f>SUM(B72:K72)+B71*(1+B22)^B25-B71</f>
        <v>46227.972674024626</v>
      </c>
    </row>
    <row r="23" spans="1:9">
      <c r="A23" t="s">
        <v>24</v>
      </c>
      <c r="B23" s="1">
        <v>0.02</v>
      </c>
      <c r="F23" s="3" t="s">
        <v>42</v>
      </c>
      <c r="G23" s="48">
        <f>SUM(G20:G22)</f>
        <v>106268.18217950017</v>
      </c>
      <c r="H23" s="49">
        <f>SUM(H22)</f>
        <v>46227.972674024626</v>
      </c>
    </row>
    <row r="24" spans="1:9">
      <c r="A24" t="s">
        <v>35</v>
      </c>
      <c r="B24" s="15">
        <v>4.47E-3</v>
      </c>
    </row>
    <row r="25" spans="1:9">
      <c r="A25" t="s">
        <v>68</v>
      </c>
      <c r="B25" s="4">
        <v>10</v>
      </c>
    </row>
    <row r="26" spans="1:9">
      <c r="B26" s="4"/>
      <c r="F26" s="3" t="s">
        <v>27</v>
      </c>
    </row>
    <row r="27" spans="1:9">
      <c r="A27" s="80" t="s">
        <v>62</v>
      </c>
      <c r="B27" s="80"/>
      <c r="F27" t="s">
        <v>43</v>
      </c>
      <c r="G27" s="6">
        <f>(K48-B6)</f>
        <v>343916.37934412202</v>
      </c>
      <c r="I27" t="s">
        <v>47</v>
      </c>
    </row>
    <row r="28" spans="1:9">
      <c r="A28" t="s">
        <v>9</v>
      </c>
      <c r="B28" s="1">
        <v>0</v>
      </c>
      <c r="F28" t="s">
        <v>85</v>
      </c>
      <c r="G28" s="6">
        <f>G27-(G27-SUM(B51:K51))*22/30*0.3</f>
        <v>290254.77588841517</v>
      </c>
      <c r="I28" t="s">
        <v>44</v>
      </c>
    </row>
    <row r="29" spans="1:9">
      <c r="A29" t="s">
        <v>10</v>
      </c>
      <c r="B29" s="1">
        <v>0.01</v>
      </c>
      <c r="F29" s="5" t="s">
        <v>86</v>
      </c>
      <c r="G29" s="6"/>
      <c r="I29" t="s">
        <v>46</v>
      </c>
    </row>
    <row r="30" spans="1:9">
      <c r="A30" t="s">
        <v>20</v>
      </c>
      <c r="B30" s="4">
        <v>24000</v>
      </c>
      <c r="F30" t="s">
        <v>87</v>
      </c>
      <c r="G30" s="6">
        <f>B6*B8</f>
        <v>150000</v>
      </c>
    </row>
    <row r="31" spans="1:9">
      <c r="A31" t="s">
        <v>21</v>
      </c>
      <c r="B31" s="4">
        <v>24000</v>
      </c>
    </row>
    <row r="32" spans="1:9">
      <c r="A32" t="s">
        <v>83</v>
      </c>
      <c r="B32" s="12">
        <f>B11*B17+B30+B31+B29*B6</f>
        <v>75000</v>
      </c>
    </row>
    <row r="33" spans="1:12">
      <c r="F33" s="3" t="s">
        <v>42</v>
      </c>
      <c r="G33" s="71">
        <f>G28+G29+G30</f>
        <v>440254.77588841517</v>
      </c>
    </row>
    <row r="34" spans="1:12">
      <c r="A34" s="3" t="s">
        <v>53</v>
      </c>
      <c r="B34" s="1" t="s">
        <v>101</v>
      </c>
      <c r="C34" s="1" t="s">
        <v>102</v>
      </c>
      <c r="H34" s="66">
        <f>K71</f>
        <v>-3061.1160154725289</v>
      </c>
    </row>
    <row r="35" spans="1:12" ht="18">
      <c r="A35" t="s">
        <v>54</v>
      </c>
      <c r="B35" s="79">
        <f>(G37-B106)*(B22-B21)/((1+B22)*((1+B22)^B25-(1+B21)^B25)+(B22-B21)*B36/12*(1+B22)^B25-(B22-B21)*B36/12)/12</f>
        <v>3061.1160154725289</v>
      </c>
      <c r="C35" s="69">
        <f>(G37-B106)*(B22-B21)/((1+B22)*((1+B22)^B25-(1+B21)^B25)+(B22-B21)*B36/12*(1+B22)^B25-(B22-B21)*B36/12)/12</f>
        <v>3061.1160154725289</v>
      </c>
      <c r="F35" s="3" t="s">
        <v>58</v>
      </c>
      <c r="G35" s="49"/>
    </row>
    <row r="36" spans="1:12">
      <c r="A36" t="s">
        <v>56</v>
      </c>
      <c r="B36" s="4">
        <v>1</v>
      </c>
    </row>
    <row r="37" spans="1:12">
      <c r="A37" t="s">
        <v>75</v>
      </c>
      <c r="B37">
        <f>12000</f>
        <v>12000</v>
      </c>
      <c r="F37" t="s">
        <v>50</v>
      </c>
      <c r="G37" s="72">
        <f>G9+G16+G23-G33</f>
        <v>568448.40629108495</v>
      </c>
      <c r="H37" s="72">
        <f>H9+H16+H22+H31+H34</f>
        <v>568448.37031994818</v>
      </c>
    </row>
    <row r="38" spans="1:12">
      <c r="B38" s="1"/>
    </row>
    <row r="39" spans="1:12" ht="16.5" thickBot="1">
      <c r="A39" s="85" t="s">
        <v>1</v>
      </c>
      <c r="B39" s="85"/>
      <c r="C39" s="85"/>
      <c r="D39" s="85"/>
      <c r="E39" s="85"/>
      <c r="F39" s="85"/>
      <c r="G39" s="85"/>
      <c r="H39" s="85"/>
      <c r="I39" s="85"/>
      <c r="J39" s="85"/>
      <c r="K39" s="85"/>
    </row>
    <row r="40" spans="1:12">
      <c r="A40" s="43"/>
      <c r="B40" s="82" t="s">
        <v>0</v>
      </c>
      <c r="C40" s="83"/>
      <c r="D40" s="83"/>
      <c r="E40" s="83"/>
      <c r="F40" s="83"/>
      <c r="G40" s="83"/>
      <c r="H40" s="83"/>
      <c r="I40" s="83"/>
      <c r="J40" s="83"/>
      <c r="K40" s="84"/>
    </row>
    <row r="41" spans="1:12">
      <c r="A41" s="51"/>
      <c r="B41" s="52">
        <v>1</v>
      </c>
      <c r="C41" s="53">
        <v>2</v>
      </c>
      <c r="D41" s="53">
        <v>3</v>
      </c>
      <c r="E41" s="53">
        <v>4</v>
      </c>
      <c r="F41" s="53">
        <v>5</v>
      </c>
      <c r="G41" s="53">
        <v>6</v>
      </c>
      <c r="H41" s="53">
        <v>7</v>
      </c>
      <c r="I41" s="53">
        <v>8</v>
      </c>
      <c r="J41" s="53">
        <v>9</v>
      </c>
      <c r="K41" s="55">
        <v>10</v>
      </c>
    </row>
    <row r="42" spans="1:12" ht="16.5" thickBot="1">
      <c r="A42" s="51" t="s">
        <v>24</v>
      </c>
      <c r="B42">
        <v>1</v>
      </c>
      <c r="C42" s="63">
        <f>1/(1+$B$23)</f>
        <v>0.98039215686274506</v>
      </c>
      <c r="D42" s="64">
        <f t="shared" ref="D42:K42" si="0">C42/(1+$B$23)</f>
        <v>0.96116878123798533</v>
      </c>
      <c r="E42" s="64">
        <f t="shared" si="0"/>
        <v>0.94232233454704439</v>
      </c>
      <c r="F42" s="64">
        <f t="shared" si="0"/>
        <v>0.92384542602651409</v>
      </c>
      <c r="G42" s="64">
        <f t="shared" si="0"/>
        <v>0.90573080982991572</v>
      </c>
      <c r="H42" s="64">
        <f t="shared" si="0"/>
        <v>0.88797138218619187</v>
      </c>
      <c r="I42" s="64">
        <f t="shared" si="0"/>
        <v>0.87056017861391355</v>
      </c>
      <c r="J42" s="64">
        <f t="shared" si="0"/>
        <v>0.85349037119011129</v>
      </c>
      <c r="K42" s="64">
        <f t="shared" si="0"/>
        <v>0.83675526587265814</v>
      </c>
      <c r="L42" s="64"/>
    </row>
    <row r="43" spans="1:12" s="11" customFormat="1">
      <c r="A43" s="32" t="s">
        <v>37</v>
      </c>
      <c r="B43" s="33"/>
      <c r="C43" s="33"/>
      <c r="D43" s="33"/>
      <c r="E43" s="33"/>
      <c r="F43" s="33"/>
      <c r="G43" s="33"/>
      <c r="H43" s="33"/>
      <c r="I43" s="33"/>
      <c r="J43" s="33"/>
      <c r="K43" s="34"/>
    </row>
    <row r="44" spans="1:12" s="11" customFormat="1">
      <c r="A44" s="35" t="s">
        <v>28</v>
      </c>
      <c r="B44" s="36">
        <f t="shared" ref="B44:K44" si="1">$B$17*$B$11</f>
        <v>17000</v>
      </c>
      <c r="C44" s="36">
        <f t="shared" si="1"/>
        <v>17000</v>
      </c>
      <c r="D44" s="36">
        <f t="shared" si="1"/>
        <v>17000</v>
      </c>
      <c r="E44" s="36">
        <f t="shared" si="1"/>
        <v>17000</v>
      </c>
      <c r="F44" s="36">
        <f t="shared" si="1"/>
        <v>17000</v>
      </c>
      <c r="G44" s="36">
        <f t="shared" si="1"/>
        <v>17000</v>
      </c>
      <c r="H44" s="36">
        <f t="shared" si="1"/>
        <v>17000</v>
      </c>
      <c r="I44" s="36">
        <f t="shared" si="1"/>
        <v>17000</v>
      </c>
      <c r="J44" s="36">
        <f t="shared" si="1"/>
        <v>17000</v>
      </c>
      <c r="K44" s="37">
        <f t="shared" si="1"/>
        <v>17000</v>
      </c>
    </row>
    <row r="45" spans="1:12" s="11" customFormat="1" ht="17.100000000000001" customHeight="1">
      <c r="A45" s="35" t="s">
        <v>13</v>
      </c>
      <c r="B45" s="38">
        <f>B11</f>
        <v>850000</v>
      </c>
      <c r="C45" s="39">
        <f t="shared" ref="C45:K45" si="2">B45-B44</f>
        <v>833000</v>
      </c>
      <c r="D45" s="39">
        <f t="shared" si="2"/>
        <v>816000</v>
      </c>
      <c r="E45" s="39">
        <f t="shared" si="2"/>
        <v>799000</v>
      </c>
      <c r="F45" s="39">
        <f t="shared" si="2"/>
        <v>782000</v>
      </c>
      <c r="G45" s="39">
        <f t="shared" si="2"/>
        <v>765000</v>
      </c>
      <c r="H45" s="39">
        <f t="shared" si="2"/>
        <v>748000</v>
      </c>
      <c r="I45" s="39">
        <f t="shared" si="2"/>
        <v>731000</v>
      </c>
      <c r="J45" s="39">
        <f t="shared" si="2"/>
        <v>714000</v>
      </c>
      <c r="K45" s="40">
        <f t="shared" si="2"/>
        <v>697000</v>
      </c>
    </row>
    <row r="46" spans="1:12" s="11" customFormat="1" ht="17.100000000000001" customHeight="1">
      <c r="A46" s="35"/>
      <c r="B46" s="38"/>
      <c r="C46" s="39"/>
      <c r="D46" s="39"/>
      <c r="E46" s="39"/>
      <c r="F46" s="39"/>
      <c r="G46" s="39"/>
      <c r="H46" s="39"/>
      <c r="I46" s="39"/>
      <c r="J46" s="39"/>
      <c r="K46" s="40"/>
    </row>
    <row r="47" spans="1:12" s="11" customFormat="1">
      <c r="A47" s="35" t="s">
        <v>30</v>
      </c>
      <c r="B47" s="41">
        <f t="shared" ref="B47:K47" si="3">B45/$B$6</f>
        <v>0.85</v>
      </c>
      <c r="C47" s="41">
        <f t="shared" si="3"/>
        <v>0.83299999999999996</v>
      </c>
      <c r="D47" s="41">
        <f t="shared" si="3"/>
        <v>0.81599999999999995</v>
      </c>
      <c r="E47" s="41">
        <f t="shared" si="3"/>
        <v>0.79900000000000004</v>
      </c>
      <c r="F47" s="41">
        <f t="shared" si="3"/>
        <v>0.78200000000000003</v>
      </c>
      <c r="G47" s="41">
        <f t="shared" si="3"/>
        <v>0.76500000000000001</v>
      </c>
      <c r="H47" s="41">
        <f t="shared" si="3"/>
        <v>0.748</v>
      </c>
      <c r="I47" s="41">
        <f t="shared" si="3"/>
        <v>0.73099999999999998</v>
      </c>
      <c r="J47" s="41">
        <f t="shared" si="3"/>
        <v>0.71399999999999997</v>
      </c>
      <c r="K47" s="42">
        <f t="shared" si="3"/>
        <v>0.69699999999999995</v>
      </c>
    </row>
    <row r="48" spans="1:12" s="11" customFormat="1">
      <c r="A48" s="35" t="s">
        <v>23</v>
      </c>
      <c r="B48" s="38">
        <f>B6*(1+B20)</f>
        <v>1030000</v>
      </c>
      <c r="C48" s="38">
        <f t="shared" ref="C48:K48" si="4">B48*(1+$B$20)</f>
        <v>1060900</v>
      </c>
      <c r="D48" s="38">
        <f t="shared" si="4"/>
        <v>1092727</v>
      </c>
      <c r="E48" s="38">
        <f t="shared" si="4"/>
        <v>1125508.81</v>
      </c>
      <c r="F48" s="38">
        <f t="shared" si="4"/>
        <v>1159274.0743</v>
      </c>
      <c r="G48" s="38">
        <f t="shared" si="4"/>
        <v>1194052.2965289999</v>
      </c>
      <c r="H48" s="38">
        <f t="shared" si="4"/>
        <v>1229873.86542487</v>
      </c>
      <c r="I48" s="38">
        <f t="shared" si="4"/>
        <v>1266770.0813876162</v>
      </c>
      <c r="J48" s="38">
        <f t="shared" si="4"/>
        <v>1304773.1838292447</v>
      </c>
      <c r="K48" s="56">
        <f t="shared" si="4"/>
        <v>1343916.379344122</v>
      </c>
    </row>
    <row r="49" spans="1:12" s="11" customFormat="1">
      <c r="A49" s="57" t="s">
        <v>38</v>
      </c>
      <c r="B49" s="19"/>
      <c r="C49" s="19"/>
      <c r="D49" s="19"/>
      <c r="E49" s="19"/>
      <c r="F49" s="19"/>
      <c r="G49" s="19"/>
      <c r="H49" s="19"/>
      <c r="I49" s="19"/>
      <c r="J49" s="19"/>
      <c r="K49" s="24"/>
    </row>
    <row r="50" spans="1:12" s="11" customFormat="1">
      <c r="A50" s="21" t="s">
        <v>22</v>
      </c>
      <c r="B50" s="20">
        <f>B45*$B$16</f>
        <v>17849.999999999996</v>
      </c>
      <c r="C50" s="20">
        <f t="shared" ref="C50:K50" si="5">C45*$B$16</f>
        <v>17493</v>
      </c>
      <c r="D50" s="20">
        <f t="shared" si="5"/>
        <v>17136</v>
      </c>
      <c r="E50" s="20">
        <f t="shared" si="5"/>
        <v>16779</v>
      </c>
      <c r="F50" s="20">
        <f t="shared" si="5"/>
        <v>16422</v>
      </c>
      <c r="G50" s="20">
        <f t="shared" si="5"/>
        <v>16064.999999999998</v>
      </c>
      <c r="H50" s="20">
        <f t="shared" si="5"/>
        <v>15707.999999999998</v>
      </c>
      <c r="I50" s="20">
        <f t="shared" si="5"/>
        <v>15350.999999999998</v>
      </c>
      <c r="J50" s="20">
        <f t="shared" si="5"/>
        <v>14993.999999999998</v>
      </c>
      <c r="K50" s="22">
        <f t="shared" si="5"/>
        <v>14636.999999999998</v>
      </c>
    </row>
    <row r="51" spans="1:12" s="11" customFormat="1">
      <c r="A51" s="23" t="s">
        <v>32</v>
      </c>
      <c r="B51" s="19">
        <f>$B$6*$B$29</f>
        <v>10000</v>
      </c>
      <c r="C51" s="19">
        <f t="shared" ref="C51:K51" si="6">$B$6*$B$29</f>
        <v>10000</v>
      </c>
      <c r="D51" s="19">
        <f t="shared" si="6"/>
        <v>10000</v>
      </c>
      <c r="E51" s="19">
        <f t="shared" si="6"/>
        <v>10000</v>
      </c>
      <c r="F51" s="19">
        <f t="shared" si="6"/>
        <v>10000</v>
      </c>
      <c r="G51" s="19">
        <f t="shared" si="6"/>
        <v>10000</v>
      </c>
      <c r="H51" s="19">
        <f t="shared" si="6"/>
        <v>10000</v>
      </c>
      <c r="I51" s="19">
        <f t="shared" si="6"/>
        <v>10000</v>
      </c>
      <c r="J51" s="19">
        <f t="shared" si="6"/>
        <v>10000</v>
      </c>
      <c r="K51" s="19">
        <f t="shared" si="6"/>
        <v>10000</v>
      </c>
    </row>
    <row r="52" spans="1:12" s="11" customFormat="1">
      <c r="A52" s="23" t="s">
        <v>20</v>
      </c>
      <c r="B52" s="19">
        <f>$B$30</f>
        <v>24000</v>
      </c>
      <c r="C52" s="19">
        <f t="shared" ref="C52:K52" si="7">$B$30</f>
        <v>24000</v>
      </c>
      <c r="D52" s="19">
        <f t="shared" si="7"/>
        <v>24000</v>
      </c>
      <c r="E52" s="19">
        <f t="shared" si="7"/>
        <v>24000</v>
      </c>
      <c r="F52" s="19">
        <f t="shared" si="7"/>
        <v>24000</v>
      </c>
      <c r="G52" s="19">
        <f t="shared" si="7"/>
        <v>24000</v>
      </c>
      <c r="H52" s="19">
        <f t="shared" si="7"/>
        <v>24000</v>
      </c>
      <c r="I52" s="19">
        <f t="shared" si="7"/>
        <v>24000</v>
      </c>
      <c r="J52" s="19">
        <f t="shared" si="7"/>
        <v>24000</v>
      </c>
      <c r="K52" s="24">
        <f t="shared" si="7"/>
        <v>24000</v>
      </c>
    </row>
    <row r="53" spans="1:12" s="11" customFormat="1">
      <c r="A53" s="23" t="s">
        <v>21</v>
      </c>
      <c r="B53" s="19">
        <f>$B$31</f>
        <v>24000</v>
      </c>
      <c r="C53" s="19">
        <f t="shared" ref="C53:K53" si="8">$B$31</f>
        <v>24000</v>
      </c>
      <c r="D53" s="19">
        <f t="shared" si="8"/>
        <v>24000</v>
      </c>
      <c r="E53" s="19">
        <f t="shared" si="8"/>
        <v>24000</v>
      </c>
      <c r="F53" s="19">
        <f t="shared" si="8"/>
        <v>24000</v>
      </c>
      <c r="G53" s="19">
        <f t="shared" si="8"/>
        <v>24000</v>
      </c>
      <c r="H53" s="19">
        <f t="shared" si="8"/>
        <v>24000</v>
      </c>
      <c r="I53" s="19">
        <f t="shared" si="8"/>
        <v>24000</v>
      </c>
      <c r="J53" s="19">
        <f t="shared" si="8"/>
        <v>24000</v>
      </c>
      <c r="K53" s="19">
        <f t="shared" si="8"/>
        <v>24000</v>
      </c>
    </row>
    <row r="54" spans="1:12" s="11" customFormat="1">
      <c r="A54" s="23"/>
      <c r="B54" s="19">
        <f>SUM(B50:B53)</f>
        <v>75850</v>
      </c>
      <c r="C54" s="19">
        <f t="shared" ref="C54:K54" si="9">SUM(C50:C53)</f>
        <v>75493</v>
      </c>
      <c r="D54" s="19">
        <f t="shared" si="9"/>
        <v>75136</v>
      </c>
      <c r="E54" s="19">
        <f t="shared" si="9"/>
        <v>74779</v>
      </c>
      <c r="F54" s="19">
        <f t="shared" si="9"/>
        <v>74422</v>
      </c>
      <c r="G54" s="19">
        <f t="shared" si="9"/>
        <v>74065</v>
      </c>
      <c r="H54" s="19">
        <f t="shared" si="9"/>
        <v>73708</v>
      </c>
      <c r="I54" s="19">
        <f t="shared" si="9"/>
        <v>73351</v>
      </c>
      <c r="J54" s="19">
        <f t="shared" si="9"/>
        <v>72994</v>
      </c>
      <c r="K54" s="19">
        <f t="shared" si="9"/>
        <v>72637</v>
      </c>
    </row>
    <row r="55" spans="1:12" s="11" customFormat="1">
      <c r="A55" s="58" t="s">
        <v>39</v>
      </c>
      <c r="B55" s="25"/>
      <c r="C55" s="25"/>
      <c r="D55" s="25"/>
      <c r="E55" s="25"/>
      <c r="F55" s="25"/>
      <c r="G55" s="25"/>
      <c r="H55" s="25"/>
      <c r="I55" s="25"/>
      <c r="J55" s="25"/>
      <c r="K55" s="59"/>
    </row>
    <row r="56" spans="1:12" s="11" customFormat="1">
      <c r="A56" s="60" t="s">
        <v>9</v>
      </c>
      <c r="B56" s="50">
        <f>B6*B28</f>
        <v>0</v>
      </c>
      <c r="C56" s="25"/>
      <c r="D56" s="25"/>
      <c r="E56" s="25"/>
      <c r="F56" s="25"/>
      <c r="G56" s="25"/>
      <c r="H56" s="25"/>
      <c r="I56" s="25"/>
      <c r="J56" s="25"/>
      <c r="K56" s="61">
        <f>K48*B28</f>
        <v>0</v>
      </c>
    </row>
    <row r="57" spans="1:12" s="11" customFormat="1">
      <c r="A57" s="60" t="s">
        <v>14</v>
      </c>
      <c r="B57" s="50">
        <v>150000</v>
      </c>
      <c r="C57" s="25"/>
      <c r="D57" s="25"/>
      <c r="E57" s="25"/>
      <c r="F57" s="25"/>
      <c r="G57" s="25"/>
      <c r="H57" s="25"/>
      <c r="I57" s="25"/>
      <c r="J57" s="25"/>
      <c r="K57" s="61">
        <v>-150000</v>
      </c>
    </row>
    <row r="58" spans="1:12" s="11" customFormat="1">
      <c r="A58" s="62" t="s">
        <v>26</v>
      </c>
      <c r="B58" s="27"/>
      <c r="C58" s="54"/>
      <c r="D58" s="54"/>
      <c r="E58" s="54"/>
      <c r="F58" s="54"/>
      <c r="G58" s="54"/>
      <c r="H58" s="54"/>
      <c r="I58" s="54"/>
      <c r="J58" s="54"/>
      <c r="K58" s="28"/>
    </row>
    <row r="59" spans="1:12" s="11" customFormat="1">
      <c r="A59" s="26" t="s">
        <v>51</v>
      </c>
      <c r="B59" s="27">
        <f>($B$6*$B$8+$B$56)*(1+$B$22)</f>
        <v>153000</v>
      </c>
      <c r="C59" s="27">
        <f t="shared" ref="C59:K59" si="10">(B59-B62)*(1+$B$22)</f>
        <v>156060</v>
      </c>
      <c r="D59" s="27">
        <f t="shared" si="10"/>
        <v>159181.20000000001</v>
      </c>
      <c r="E59" s="27">
        <f t="shared" si="10"/>
        <v>162364.82400000002</v>
      </c>
      <c r="F59" s="27">
        <f t="shared" si="10"/>
        <v>165612.12048000001</v>
      </c>
      <c r="G59" s="27">
        <f t="shared" si="10"/>
        <v>168924.36288960002</v>
      </c>
      <c r="H59" s="27">
        <f t="shared" si="10"/>
        <v>172302.85014739202</v>
      </c>
      <c r="I59" s="27">
        <f t="shared" si="10"/>
        <v>175748.90715033986</v>
      </c>
      <c r="J59" s="27">
        <f t="shared" si="10"/>
        <v>179263.88529334666</v>
      </c>
      <c r="K59" s="27">
        <f t="shared" si="10"/>
        <v>182849.16299921359</v>
      </c>
      <c r="L59" s="16"/>
    </row>
    <row r="60" spans="1:12" s="11" customFormat="1">
      <c r="A60" s="26" t="s">
        <v>66</v>
      </c>
      <c r="B60" s="27"/>
      <c r="C60" s="27"/>
      <c r="D60" s="27"/>
      <c r="E60" s="27"/>
      <c r="F60" s="27"/>
      <c r="G60" s="27"/>
      <c r="H60" s="27"/>
      <c r="I60" s="27"/>
      <c r="J60" s="27"/>
      <c r="K60" s="27"/>
    </row>
    <row r="61" spans="1:12" s="11" customFormat="1">
      <c r="A61" s="26" t="s">
        <v>52</v>
      </c>
      <c r="B61" s="27"/>
      <c r="C61" s="27"/>
      <c r="D61" s="27"/>
      <c r="E61" s="27"/>
      <c r="F61" s="27"/>
      <c r="G61" s="27"/>
      <c r="H61" s="27"/>
      <c r="I61" s="27"/>
      <c r="J61" s="27"/>
      <c r="K61" s="28"/>
    </row>
    <row r="62" spans="1:12" s="11" customFormat="1" ht="16.5" thickBot="1">
      <c r="A62" s="29" t="s">
        <v>34</v>
      </c>
      <c r="B62" s="30"/>
      <c r="C62" s="30"/>
      <c r="D62" s="30"/>
      <c r="E62" s="30"/>
      <c r="F62" s="30"/>
      <c r="G62" s="30"/>
      <c r="H62" s="30"/>
      <c r="I62" s="30"/>
      <c r="J62" s="30"/>
      <c r="K62" s="31"/>
    </row>
    <row r="63" spans="1:12" s="11" customFormat="1">
      <c r="B63" s="67"/>
      <c r="C63" s="68"/>
    </row>
    <row r="64" spans="1:12" s="11" customFormat="1"/>
    <row r="65" spans="1:11" ht="16.5" thickBot="1">
      <c r="A65" s="81" t="s">
        <v>59</v>
      </c>
      <c r="B65" s="81"/>
      <c r="C65" s="81"/>
      <c r="D65" s="81"/>
      <c r="E65" s="81"/>
      <c r="F65" s="81"/>
      <c r="G65" s="81"/>
      <c r="H65" s="81"/>
      <c r="I65" s="81"/>
      <c r="J65" s="81"/>
      <c r="K65" s="81"/>
    </row>
    <row r="66" spans="1:11">
      <c r="A66" s="43"/>
      <c r="B66" s="82" t="s">
        <v>0</v>
      </c>
      <c r="C66" s="83"/>
      <c r="D66" s="83"/>
      <c r="E66" s="83"/>
      <c r="F66" s="83"/>
      <c r="G66" s="83"/>
      <c r="H66" s="83"/>
      <c r="I66" s="83"/>
      <c r="J66" s="83"/>
      <c r="K66" s="84"/>
    </row>
    <row r="67" spans="1:11" ht="16.5" thickBot="1">
      <c r="A67" s="44"/>
      <c r="B67" s="47">
        <v>1</v>
      </c>
      <c r="C67" s="45">
        <v>2</v>
      </c>
      <c r="D67" s="45">
        <v>3</v>
      </c>
      <c r="E67" s="45">
        <v>4</v>
      </c>
      <c r="F67" s="45">
        <v>5</v>
      </c>
      <c r="G67" s="45">
        <v>6</v>
      </c>
      <c r="H67" s="45">
        <v>7</v>
      </c>
      <c r="I67" s="45">
        <v>8</v>
      </c>
      <c r="J67" s="45">
        <v>9</v>
      </c>
      <c r="K67" s="46">
        <v>10</v>
      </c>
    </row>
    <row r="68" spans="1:11">
      <c r="A68" s="57" t="s">
        <v>38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</row>
    <row r="69" spans="1:11">
      <c r="A69" t="s">
        <v>55</v>
      </c>
      <c r="B69" s="6">
        <f>B35*12</f>
        <v>36733.392185670345</v>
      </c>
      <c r="C69" s="6">
        <f>B69*(1+$B$21)</f>
        <v>37468.060066117148</v>
      </c>
      <c r="D69" s="6">
        <f t="shared" ref="D69:K69" si="11">C69*(1+$B$21)</f>
        <v>38217.421304907555</v>
      </c>
      <c r="E69" s="6">
        <f t="shared" si="11"/>
        <v>38981.76976922313</v>
      </c>
      <c r="F69" s="6">
        <f t="shared" si="11"/>
        <v>39761.405203589369</v>
      </c>
      <c r="G69" s="6">
        <f t="shared" si="11"/>
        <v>40556.633347422568</v>
      </c>
      <c r="H69" s="6">
        <f t="shared" si="11"/>
        <v>41367.766054927655</v>
      </c>
      <c r="I69" s="6">
        <f t="shared" si="11"/>
        <v>42195.121417393981</v>
      </c>
      <c r="J69" s="6">
        <f t="shared" si="11"/>
        <v>43039.023887936986</v>
      </c>
      <c r="K69" s="6">
        <f t="shared" si="11"/>
        <v>43899.804408734752</v>
      </c>
    </row>
    <row r="70" spans="1:11">
      <c r="A70" t="s">
        <v>74</v>
      </c>
      <c r="B70" s="6">
        <f>B37</f>
        <v>12000</v>
      </c>
      <c r="C70" s="6">
        <f>B70</f>
        <v>12000</v>
      </c>
      <c r="D70" s="6">
        <f t="shared" ref="D70:K70" si="12">C70</f>
        <v>12000</v>
      </c>
      <c r="E70" s="6">
        <f t="shared" si="12"/>
        <v>12000</v>
      </c>
      <c r="F70" s="6">
        <f t="shared" si="12"/>
        <v>12000</v>
      </c>
      <c r="G70" s="6">
        <f t="shared" si="12"/>
        <v>12000</v>
      </c>
      <c r="H70" s="6">
        <f t="shared" si="12"/>
        <v>12000</v>
      </c>
      <c r="I70" s="6">
        <f t="shared" si="12"/>
        <v>12000</v>
      </c>
      <c r="J70" s="6">
        <f t="shared" si="12"/>
        <v>12000</v>
      </c>
      <c r="K70" s="6">
        <f t="shared" si="12"/>
        <v>12000</v>
      </c>
    </row>
    <row r="71" spans="1:11">
      <c r="A71" t="s">
        <v>36</v>
      </c>
      <c r="B71" s="4">
        <f>B36*B35</f>
        <v>3061.1160154725289</v>
      </c>
      <c r="K71">
        <f>-B71</f>
        <v>-3061.1160154725289</v>
      </c>
    </row>
    <row r="72" spans="1:11">
      <c r="A72" t="s">
        <v>70</v>
      </c>
      <c r="B72" s="6">
        <f>(B69)*(1+$B$22)^($B$25-B67+1)-(B69)</f>
        <v>8044.4079161408226</v>
      </c>
      <c r="C72" s="6">
        <f t="shared" ref="C72:K72" si="13">(C69)*(1+$B$22)^($B$25-C67+1)-(C69)</f>
        <v>7309.7400795938229</v>
      </c>
      <c r="D72" s="6">
        <f t="shared" si="13"/>
        <v>6560.3788847032265</v>
      </c>
      <c r="E72" s="6">
        <f t="shared" si="13"/>
        <v>5796.0304642874544</v>
      </c>
      <c r="F72" s="6">
        <f t="shared" si="13"/>
        <v>5016.3950738210333</v>
      </c>
      <c r="G72" s="6">
        <f t="shared" si="13"/>
        <v>4221.1669738876444</v>
      </c>
      <c r="H72" s="6">
        <f t="shared" si="13"/>
        <v>3410.0343102823608</v>
      </c>
      <c r="I72" s="6">
        <f t="shared" si="13"/>
        <v>2582.6789917158458</v>
      </c>
      <c r="J72" s="6">
        <f t="shared" si="13"/>
        <v>1738.7765650726506</v>
      </c>
      <c r="K72" s="6">
        <f t="shared" si="13"/>
        <v>877.99608817469561</v>
      </c>
    </row>
    <row r="74" spans="1:11">
      <c r="B74" t="s">
        <v>8</v>
      </c>
      <c r="C74" t="s">
        <v>36</v>
      </c>
      <c r="D74" t="s">
        <v>73</v>
      </c>
    </row>
    <row r="75" spans="1:11">
      <c r="A75" t="s">
        <v>26</v>
      </c>
      <c r="B75" s="6">
        <f>B69*((1+B22)*(-1+(1+B22))*((1+B22)^B25-(1+B21)^B25))/(B22*(-1+(1+B22)-B21))</f>
        <v>447778.04673245124</v>
      </c>
      <c r="C75" s="6">
        <f>B71*(1+B22)^B25-B71</f>
        <v>670.36732634506825</v>
      </c>
      <c r="D75" s="6">
        <f>C75+B75</f>
        <v>448448.4140587963</v>
      </c>
    </row>
    <row r="76" spans="1:11">
      <c r="A76" t="s">
        <v>72</v>
      </c>
      <c r="B76" s="76">
        <f>B69*(1-(1+B21)^10)/(1-(1+B21))</f>
        <v>402220.39764592296</v>
      </c>
      <c r="D76" s="6"/>
    </row>
    <row r="77" spans="1:11">
      <c r="B77" s="6">
        <f>B75-B76</f>
        <v>45557.649086528283</v>
      </c>
      <c r="C77" s="6"/>
    </row>
    <row r="79" spans="1:11">
      <c r="A79" t="s">
        <v>73</v>
      </c>
      <c r="B79" s="6">
        <f>B75+C75-B76</f>
        <v>46228.016412873345</v>
      </c>
    </row>
    <row r="80" spans="1:11">
      <c r="A80" s="6"/>
    </row>
    <row r="81" spans="1:3">
      <c r="A81" s="3" t="s">
        <v>80</v>
      </c>
      <c r="B81" s="3" t="s">
        <v>8</v>
      </c>
      <c r="C81" s="3" t="s">
        <v>36</v>
      </c>
    </row>
    <row r="82" spans="1:3">
      <c r="A82" t="s">
        <v>76</v>
      </c>
      <c r="B82" s="4">
        <f>B69*(1+B22)*((1+B22)^B25-(1+B21)^B25)/(B22-B21)</f>
        <v>447778.03896473994</v>
      </c>
      <c r="C82" s="4">
        <f>B71*(1+B22)^B25</f>
        <v>3731.4833418175972</v>
      </c>
    </row>
    <row r="83" spans="1:3">
      <c r="A83" t="s">
        <v>79</v>
      </c>
      <c r="B83" s="4">
        <f>B69*((1-(1+B21)^B25))/(1-(1+B21))</f>
        <v>402220.39764592296</v>
      </c>
      <c r="C83" s="6">
        <f>B71</f>
        <v>3061.1160154725289</v>
      </c>
    </row>
    <row r="84" spans="1:3">
      <c r="A84" t="s">
        <v>78</v>
      </c>
      <c r="B84" s="77">
        <f>B82-B83</f>
        <v>45557.641318816983</v>
      </c>
      <c r="C84" s="6">
        <f>C82-C83</f>
        <v>670.36732634506825</v>
      </c>
    </row>
    <row r="86" spans="1:3">
      <c r="A86" t="s">
        <v>77</v>
      </c>
      <c r="B86" s="6">
        <f>B84+C84</f>
        <v>46228.008645162052</v>
      </c>
    </row>
    <row r="88" spans="1:3">
      <c r="B88" t="s">
        <v>8</v>
      </c>
      <c r="C88" t="s">
        <v>7</v>
      </c>
    </row>
    <row r="89" spans="1:3">
      <c r="A89" s="3" t="s">
        <v>6</v>
      </c>
      <c r="B89" s="48"/>
    </row>
    <row r="90" spans="1:3">
      <c r="A90" s="3" t="s">
        <v>25</v>
      </c>
      <c r="B90" s="12"/>
    </row>
    <row r="91" spans="1:3">
      <c r="A91" t="s">
        <v>88</v>
      </c>
      <c r="B91" s="12">
        <f>B37*B25</f>
        <v>120000</v>
      </c>
    </row>
    <row r="92" spans="1:3">
      <c r="A92" t="s">
        <v>89</v>
      </c>
      <c r="B92" s="6"/>
    </row>
    <row r="93" spans="1:3">
      <c r="A93" t="s">
        <v>93</v>
      </c>
      <c r="B93" s="6">
        <f>B91+B92</f>
        <v>120000</v>
      </c>
    </row>
    <row r="94" spans="1:3">
      <c r="A94" s="3" t="s">
        <v>26</v>
      </c>
    </row>
    <row r="95" spans="1:3">
      <c r="A95" t="s">
        <v>90</v>
      </c>
      <c r="B95" s="6">
        <f>B69*(1+B22)*((1+B22)^B25-(1+B21)^B25)/(B22-B21)</f>
        <v>447778.03896473994</v>
      </c>
    </row>
    <row r="96" spans="1:3">
      <c r="A96" t="s">
        <v>8</v>
      </c>
      <c r="B96" s="74"/>
    </row>
    <row r="97" spans="1:2">
      <c r="A97" t="s">
        <v>91</v>
      </c>
      <c r="B97" s="6">
        <f>B36*B35*(1+B22)^B25</f>
        <v>3731.4833418175972</v>
      </c>
    </row>
    <row r="98" spans="1:2">
      <c r="A98" t="s">
        <v>36</v>
      </c>
      <c r="B98" s="6">
        <f>B35</f>
        <v>3061.1160154725289</v>
      </c>
    </row>
    <row r="99" spans="1:2">
      <c r="A99" s="3" t="s">
        <v>92</v>
      </c>
      <c r="B99" s="48">
        <f>B95-B96+B97-B98</f>
        <v>448448.406291085</v>
      </c>
    </row>
    <row r="101" spans="1:2">
      <c r="A101" t="s">
        <v>81</v>
      </c>
      <c r="B101" s="12"/>
    </row>
    <row r="103" spans="1:2">
      <c r="A103" t="s">
        <v>94</v>
      </c>
      <c r="B103" s="72">
        <f>B89+B93+B99+B101</f>
        <v>568448.40629108506</v>
      </c>
    </row>
    <row r="105" spans="1:2">
      <c r="A105" t="s">
        <v>97</v>
      </c>
      <c r="B105" s="72">
        <f>B37*B25+B69*((1+B22)*((1+B22)^B25-(1+B21)^B25)+(B22-B21)*B36/12*(1+B22)^B25-(B22-B21)*B36/12)/(B22-B21)</f>
        <v>568448.40629108495</v>
      </c>
    </row>
    <row r="106" spans="1:2">
      <c r="A106" t="s">
        <v>62</v>
      </c>
      <c r="B106" s="6">
        <f>B37*B25</f>
        <v>120000</v>
      </c>
    </row>
    <row r="107" spans="1:2">
      <c r="A107" t="s">
        <v>8</v>
      </c>
      <c r="B107" s="6">
        <f>B69</f>
        <v>36733.392185670345</v>
      </c>
    </row>
    <row r="108" spans="1:2">
      <c r="A108" t="s">
        <v>98</v>
      </c>
      <c r="B108" s="78">
        <f>((1+B22)*((1+B22)^B25-(1+B21)^B25)+(B22-B21)*B36/12*(1+B22)^B25-(B22-B21)*B36/12)</f>
        <v>-1.2208194761549431E-8</v>
      </c>
    </row>
    <row r="109" spans="1:2">
      <c r="B109" s="6">
        <f>B106+B107*B108</f>
        <v>119999.99955155159</v>
      </c>
    </row>
    <row r="112" spans="1:2">
      <c r="A112" s="3" t="s">
        <v>95</v>
      </c>
    </row>
    <row r="113" spans="1:2">
      <c r="A113" t="s">
        <v>96</v>
      </c>
      <c r="B113" s="72">
        <f>(G37-B106)*(B22-B21)</f>
        <v>-4.4844840605504148E-4</v>
      </c>
    </row>
    <row r="114" spans="1:2">
      <c r="A114" t="s">
        <v>100</v>
      </c>
      <c r="B114" s="75">
        <f>((1+B22)*((1+B22)^B25-(1+B21)^B25)+(B22-B21)*B36/12*(1+B22)^B25-(B22-B21)*B36/12)</f>
        <v>-1.2208194761549431E-8</v>
      </c>
    </row>
    <row r="116" spans="1:2">
      <c r="A116" t="s">
        <v>99</v>
      </c>
      <c r="B116" s="6">
        <f>(G37-B106)*(B22-B21)/((1+B22)*((1+B22)^B25-(1+B21)^B25)+(B22-B21)*B36/12*(1+B22)^B25-(B22-B21)*B36/12)/12</f>
        <v>3061.1160154725289</v>
      </c>
    </row>
  </sheetData>
  <mergeCells count="8">
    <mergeCell ref="A1:B1"/>
    <mergeCell ref="A19:B19"/>
    <mergeCell ref="A27:B27"/>
    <mergeCell ref="A65:K65"/>
    <mergeCell ref="B66:K66"/>
    <mergeCell ref="A39:K39"/>
    <mergeCell ref="B40:K40"/>
    <mergeCell ref="A10:B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zoomScale="110" zoomScaleNormal="110" workbookViewId="0">
      <selection activeCell="E9" sqref="E9"/>
    </sheetView>
  </sheetViews>
  <sheetFormatPr defaultColWidth="11" defaultRowHeight="15.75"/>
  <cols>
    <col min="1" max="1" width="39.375" customWidth="1"/>
    <col min="2" max="2" width="17.625" customWidth="1"/>
    <col min="5" max="5" width="43.5" bestFit="1" customWidth="1"/>
    <col min="6" max="6" width="11.125" bestFit="1" customWidth="1"/>
  </cols>
  <sheetData>
    <row r="1" spans="1:6">
      <c r="A1" s="80" t="s">
        <v>19</v>
      </c>
      <c r="B1" s="80"/>
    </row>
    <row r="2" spans="1:6">
      <c r="A2" s="70"/>
      <c r="B2" s="70"/>
    </row>
    <row r="3" spans="1:6">
      <c r="A3" s="70" t="s">
        <v>61</v>
      </c>
      <c r="B3" s="70" t="s">
        <v>63</v>
      </c>
    </row>
    <row r="4" spans="1:6">
      <c r="A4" s="70"/>
      <c r="B4" s="70"/>
      <c r="E4" s="3" t="s">
        <v>6</v>
      </c>
      <c r="F4" s="14" t="s">
        <v>7</v>
      </c>
    </row>
    <row r="5" spans="1:6">
      <c r="A5" t="s">
        <v>18</v>
      </c>
      <c r="B5" s="4">
        <v>300000</v>
      </c>
      <c r="E5" t="s">
        <v>9</v>
      </c>
      <c r="F5" s="6"/>
    </row>
    <row r="6" spans="1:6">
      <c r="A6" t="s">
        <v>11</v>
      </c>
      <c r="B6" s="4">
        <v>1000000</v>
      </c>
      <c r="E6" t="s">
        <v>14</v>
      </c>
      <c r="F6" s="6">
        <f>B6*B8</f>
        <v>150000</v>
      </c>
    </row>
    <row r="7" spans="1:6">
      <c r="A7" t="s">
        <v>2</v>
      </c>
      <c r="B7">
        <v>10</v>
      </c>
      <c r="E7" t="s">
        <v>36</v>
      </c>
    </row>
    <row r="8" spans="1:6">
      <c r="A8" t="s">
        <v>14</v>
      </c>
      <c r="B8" s="1">
        <v>0.15</v>
      </c>
      <c r="E8" s="3" t="s">
        <v>42</v>
      </c>
      <c r="F8" s="49">
        <f>SUM(F5:F7)</f>
        <v>150000</v>
      </c>
    </row>
    <row r="10" spans="1:6">
      <c r="A10" s="80" t="s">
        <v>13</v>
      </c>
      <c r="B10" s="80"/>
      <c r="E10" s="18" t="s">
        <v>25</v>
      </c>
      <c r="F10" s="11"/>
    </row>
    <row r="11" spans="1:6">
      <c r="A11" t="s">
        <v>15</v>
      </c>
      <c r="B11" s="6">
        <v>0</v>
      </c>
      <c r="E11" s="11" t="s">
        <v>40</v>
      </c>
      <c r="F11" s="4">
        <f>B16*(B11*B25-B11*(B17*(B25-1)*B25/2))</f>
        <v>0</v>
      </c>
    </row>
    <row r="12" spans="1:6">
      <c r="A12" t="s">
        <v>17</v>
      </c>
      <c r="B12" s="2">
        <f>1-B8</f>
        <v>0.85</v>
      </c>
      <c r="E12" s="11" t="s">
        <v>10</v>
      </c>
      <c r="F12" s="72">
        <f>B6*B28*B25</f>
        <v>100000</v>
      </c>
    </row>
    <row r="13" spans="1:6">
      <c r="A13" s="5" t="s">
        <v>65</v>
      </c>
      <c r="B13" s="7">
        <v>0.03</v>
      </c>
      <c r="E13" s="11" t="s">
        <v>57</v>
      </c>
      <c r="F13" s="72">
        <f>(B29)*B25</f>
        <v>240000</v>
      </c>
    </row>
    <row r="14" spans="1:6">
      <c r="A14" s="5" t="s">
        <v>64</v>
      </c>
      <c r="E14" s="13" t="s">
        <v>67</v>
      </c>
      <c r="F14" s="72">
        <f>B31*B25</f>
        <v>120000</v>
      </c>
    </row>
    <row r="15" spans="1:6">
      <c r="A15" s="5" t="s">
        <v>16</v>
      </c>
      <c r="B15" s="1">
        <v>0.3</v>
      </c>
      <c r="E15" s="11" t="s">
        <v>21</v>
      </c>
      <c r="F15" s="72">
        <f>B30*B25</f>
        <v>120000</v>
      </c>
    </row>
    <row r="16" spans="1:6">
      <c r="A16" s="5" t="s">
        <v>31</v>
      </c>
      <c r="B16" s="7">
        <f>B13*0.7</f>
        <v>2.0999999999999998E-2</v>
      </c>
      <c r="E16" s="5" t="s">
        <v>42</v>
      </c>
      <c r="F16" s="72">
        <f>SUM(F11:F15)</f>
        <v>580000</v>
      </c>
    </row>
    <row r="17" spans="1:6">
      <c r="A17" s="5" t="s">
        <v>29</v>
      </c>
      <c r="B17" s="9">
        <v>0.02</v>
      </c>
    </row>
    <row r="18" spans="1:6">
      <c r="A18" s="5"/>
      <c r="B18" s="1"/>
      <c r="E18" s="3" t="s">
        <v>26</v>
      </c>
    </row>
    <row r="19" spans="1:6">
      <c r="A19" s="80" t="s">
        <v>12</v>
      </c>
      <c r="B19" s="80"/>
      <c r="E19" t="s">
        <v>33</v>
      </c>
      <c r="F19" s="6">
        <f>B8*B6*(1+B22)^B25-B6*B8</f>
        <v>72036.642737751681</v>
      </c>
    </row>
    <row r="20" spans="1:6">
      <c r="A20" t="s">
        <v>5</v>
      </c>
      <c r="B20" s="2">
        <v>0.04</v>
      </c>
      <c r="E20" t="s">
        <v>69</v>
      </c>
      <c r="F20" s="8">
        <f>(B29+B31+B30+B28*B6)</f>
        <v>58000</v>
      </c>
    </row>
    <row r="21" spans="1:6">
      <c r="A21" t="s">
        <v>3</v>
      </c>
      <c r="B21" s="2">
        <v>0.02</v>
      </c>
      <c r="F21" s="12"/>
    </row>
    <row r="22" spans="1:6">
      <c r="A22" t="s">
        <v>4</v>
      </c>
      <c r="B22" s="1">
        <v>0.04</v>
      </c>
      <c r="E22" s="3" t="s">
        <v>42</v>
      </c>
      <c r="F22" s="48"/>
    </row>
    <row r="23" spans="1:6">
      <c r="A23" t="s">
        <v>24</v>
      </c>
      <c r="B23" s="1">
        <v>0.02</v>
      </c>
    </row>
    <row r="24" spans="1:6">
      <c r="A24" t="s">
        <v>35</v>
      </c>
      <c r="B24" s="15">
        <v>4.47E-3</v>
      </c>
      <c r="E24" s="3" t="s">
        <v>27</v>
      </c>
    </row>
    <row r="25" spans="1:6">
      <c r="A25" t="s">
        <v>68</v>
      </c>
      <c r="B25" s="4">
        <v>10</v>
      </c>
      <c r="E25" t="s">
        <v>48</v>
      </c>
      <c r="F25" s="6"/>
    </row>
    <row r="26" spans="1:6">
      <c r="A26" s="80" t="s">
        <v>62</v>
      </c>
      <c r="B26" s="80"/>
      <c r="E26" t="s">
        <v>43</v>
      </c>
      <c r="F26" s="6">
        <f>B6*(1+B20)^B25-B6</f>
        <v>480244.28491834458</v>
      </c>
    </row>
    <row r="27" spans="1:6">
      <c r="A27" t="s">
        <v>9</v>
      </c>
      <c r="B27" s="1">
        <v>0</v>
      </c>
      <c r="E27" s="5" t="s">
        <v>45</v>
      </c>
      <c r="F27" s="6">
        <f>F26-F12</f>
        <v>380244.28491834458</v>
      </c>
    </row>
    <row r="28" spans="1:6">
      <c r="A28" t="s">
        <v>10</v>
      </c>
      <c r="B28" s="1">
        <v>0.01</v>
      </c>
      <c r="E28" s="5" t="s">
        <v>49</v>
      </c>
      <c r="F28" s="49">
        <f>F27*22/30*0.3</f>
        <v>83653.742682035794</v>
      </c>
    </row>
    <row r="29" spans="1:6">
      <c r="A29" t="s">
        <v>20</v>
      </c>
      <c r="B29" s="4">
        <v>24000</v>
      </c>
      <c r="E29" s="5" t="s">
        <v>9</v>
      </c>
      <c r="F29" s="6"/>
    </row>
    <row r="30" spans="1:6">
      <c r="A30" t="s">
        <v>21</v>
      </c>
      <c r="B30" s="4">
        <v>12000</v>
      </c>
      <c r="E30" s="3" t="s">
        <v>42</v>
      </c>
      <c r="F30" s="71">
        <f>F26-F28</f>
        <v>396590.5422363088</v>
      </c>
    </row>
    <row r="31" spans="1:6">
      <c r="A31" t="s">
        <v>67</v>
      </c>
      <c r="B31" s="4">
        <v>12000</v>
      </c>
    </row>
    <row r="32" spans="1:6">
      <c r="E32" s="3" t="s">
        <v>58</v>
      </c>
      <c r="F32" s="49"/>
    </row>
    <row r="33" spans="1:6">
      <c r="A33" s="3" t="s">
        <v>53</v>
      </c>
      <c r="B33" s="1"/>
    </row>
    <row r="34" spans="1:6" ht="18">
      <c r="A34" t="s">
        <v>54</v>
      </c>
      <c r="B34" s="73">
        <f>F34/((1-(1+B21)^B25)/(1-(1+B21)))/12</f>
        <v>3085.6653829440797</v>
      </c>
      <c r="E34" t="s">
        <v>50</v>
      </c>
      <c r="F34" s="72">
        <f>F8+F16+F19-F30</f>
        <v>405446.10050144291</v>
      </c>
    </row>
    <row r="35" spans="1:6">
      <c r="A35" t="s">
        <v>56</v>
      </c>
      <c r="B35" s="4">
        <v>3</v>
      </c>
    </row>
  </sheetData>
  <mergeCells count="4">
    <mergeCell ref="A1:B1"/>
    <mergeCell ref="A10:B10"/>
    <mergeCell ref="A19:B19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Alla år</vt:lpstr>
      <vt:lpstr>Formler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Claes Bäckman</cp:lastModifiedBy>
  <dcterms:created xsi:type="dcterms:W3CDTF">2019-09-08T12:04:45Z</dcterms:created>
  <dcterms:modified xsi:type="dcterms:W3CDTF">2021-03-09T20:46:46Z</dcterms:modified>
</cp:coreProperties>
</file>