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claesbackman/Dropbox/Public Lectures/Course material/"/>
    </mc:Choice>
  </mc:AlternateContent>
  <xr:revisionPtr revIDLastSave="0" documentId="13_ncr:1_{E05AA116-95A4-214C-A9AD-AF5ADF087360}" xr6:coauthVersionLast="44" xr6:coauthVersionMax="44" xr10:uidLastSave="{00000000-0000-0000-0000-000000000000}"/>
  <bookViews>
    <workbookView xWindow="0" yWindow="460" windowWidth="25600" windowHeight="13600" activeTab="4" xr2:uid="{00000000-000D-0000-FFFF-FFFF00000000}"/>
  </bookViews>
  <sheets>
    <sheet name="Bolåneberäkningar" sheetId="1" r:id="rId1"/>
    <sheet name="grafer" sheetId="2" r:id="rId2"/>
    <sheet name="Högre räntor" sheetId="3" r:id="rId3"/>
    <sheet name="Present values" sheetId="5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E6" i="1"/>
  <c r="F6" i="1" s="1"/>
  <c r="L53" i="3"/>
  <c r="L52" i="3"/>
  <c r="L51" i="3"/>
  <c r="L50" i="3"/>
  <c r="L49" i="3"/>
  <c r="L48" i="3"/>
  <c r="L47" i="3"/>
  <c r="L46" i="3"/>
  <c r="L45" i="3"/>
  <c r="L44" i="3"/>
  <c r="L43" i="3"/>
  <c r="M42" i="3"/>
  <c r="N42" i="3" s="1"/>
  <c r="L42" i="3"/>
  <c r="G53" i="3"/>
  <c r="G52" i="3"/>
  <c r="G51" i="3"/>
  <c r="G50" i="3"/>
  <c r="G49" i="3"/>
  <c r="G48" i="3"/>
  <c r="G47" i="3"/>
  <c r="G46" i="3"/>
  <c r="G45" i="3"/>
  <c r="G44" i="3"/>
  <c r="G43" i="3"/>
  <c r="H42" i="3"/>
  <c r="I42" i="3" s="1"/>
  <c r="G42" i="3"/>
  <c r="B53" i="3"/>
  <c r="B52" i="3"/>
  <c r="B51" i="3"/>
  <c r="B50" i="3"/>
  <c r="B49" i="3"/>
  <c r="B48" i="3"/>
  <c r="B47" i="3"/>
  <c r="B46" i="3"/>
  <c r="B45" i="3"/>
  <c r="B44" i="3"/>
  <c r="B43" i="3"/>
  <c r="C42" i="3"/>
  <c r="B42" i="3"/>
  <c r="L33" i="3"/>
  <c r="L32" i="3"/>
  <c r="L31" i="3"/>
  <c r="L30" i="3"/>
  <c r="L29" i="3"/>
  <c r="L28" i="3"/>
  <c r="L27" i="3"/>
  <c r="L26" i="3"/>
  <c r="L25" i="3"/>
  <c r="L24" i="3"/>
  <c r="L23" i="3"/>
  <c r="M22" i="3"/>
  <c r="L22" i="3"/>
  <c r="G33" i="3"/>
  <c r="G32" i="3"/>
  <c r="G31" i="3"/>
  <c r="G30" i="3"/>
  <c r="G29" i="3"/>
  <c r="G28" i="3"/>
  <c r="G27" i="3"/>
  <c r="H22" i="3"/>
  <c r="I22" i="3" s="1"/>
  <c r="D22" i="3"/>
  <c r="C22" i="3"/>
  <c r="B33" i="3"/>
  <c r="B32" i="3"/>
  <c r="B31" i="3"/>
  <c r="B30" i="3"/>
  <c r="B29" i="3"/>
  <c r="B28" i="3"/>
  <c r="B27" i="3"/>
  <c r="B26" i="3"/>
  <c r="B25" i="3"/>
  <c r="B24" i="3"/>
  <c r="B23" i="3"/>
  <c r="B22" i="3"/>
  <c r="E7" i="3"/>
  <c r="H7" i="3" s="1"/>
  <c r="E6" i="3"/>
  <c r="H6" i="3" s="1"/>
  <c r="B6" i="3"/>
  <c r="B7" i="3" s="1"/>
  <c r="O53" i="3" s="1"/>
  <c r="K7" i="1"/>
  <c r="N7" i="1" s="1"/>
  <c r="K6" i="1"/>
  <c r="N6" i="1" s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C12" i="1"/>
  <c r="D12" i="1" s="1"/>
  <c r="B12" i="1"/>
  <c r="B6" i="1"/>
  <c r="B7" i="1" s="1"/>
  <c r="E406" i="1" s="1"/>
  <c r="J26" i="3" l="1"/>
  <c r="J30" i="3"/>
  <c r="M23" i="3"/>
  <c r="M24" i="3" s="1"/>
  <c r="E45" i="3"/>
  <c r="E51" i="3"/>
  <c r="J42" i="3"/>
  <c r="H43" i="3" s="1"/>
  <c r="J50" i="3"/>
  <c r="J23" i="3"/>
  <c r="O22" i="3"/>
  <c r="O24" i="3"/>
  <c r="O26" i="3"/>
  <c r="O28" i="3"/>
  <c r="O30" i="3"/>
  <c r="O32" i="3"/>
  <c r="D42" i="3"/>
  <c r="O42" i="3"/>
  <c r="M43" i="3" s="1"/>
  <c r="M44" i="3" s="1"/>
  <c r="O44" i="3"/>
  <c r="O46" i="3"/>
  <c r="O48" i="3"/>
  <c r="O50" i="3"/>
  <c r="O52" i="3"/>
  <c r="J22" i="3"/>
  <c r="H23" i="3" s="1"/>
  <c r="J28" i="3"/>
  <c r="J32" i="3"/>
  <c r="E43" i="3"/>
  <c r="E47" i="3"/>
  <c r="E49" i="3"/>
  <c r="E53" i="3"/>
  <c r="J44" i="3"/>
  <c r="J46" i="3"/>
  <c r="J48" i="3"/>
  <c r="J52" i="3"/>
  <c r="J24" i="3"/>
  <c r="J27" i="3"/>
  <c r="J29" i="3"/>
  <c r="J31" i="3"/>
  <c r="J33" i="3"/>
  <c r="E42" i="3"/>
  <c r="C43" i="3" s="1"/>
  <c r="E44" i="3"/>
  <c r="E46" i="3"/>
  <c r="E48" i="3"/>
  <c r="E50" i="3"/>
  <c r="E52" i="3"/>
  <c r="J43" i="3"/>
  <c r="H44" i="3" s="1"/>
  <c r="J45" i="3"/>
  <c r="J47" i="3"/>
  <c r="J49" i="3"/>
  <c r="J51" i="3"/>
  <c r="J53" i="3"/>
  <c r="J25" i="3"/>
  <c r="O23" i="3"/>
  <c r="O25" i="3"/>
  <c r="O27" i="3"/>
  <c r="O29" i="3"/>
  <c r="O31" i="3"/>
  <c r="O33" i="3"/>
  <c r="O43" i="3"/>
  <c r="O45" i="3"/>
  <c r="O47" i="3"/>
  <c r="O49" i="3"/>
  <c r="O51" i="3"/>
  <c r="E564" i="1"/>
  <c r="E578" i="1"/>
  <c r="E398" i="1"/>
  <c r="E394" i="1"/>
  <c r="E570" i="1"/>
  <c r="E540" i="1"/>
  <c r="E590" i="1"/>
  <c r="E380" i="1"/>
  <c r="E482" i="1"/>
  <c r="E474" i="1"/>
  <c r="E596" i="1"/>
  <c r="E546" i="1"/>
  <c r="E502" i="1"/>
  <c r="E418" i="1"/>
  <c r="E602" i="1"/>
  <c r="E508" i="1"/>
  <c r="E494" i="1"/>
  <c r="E410" i="1"/>
  <c r="E608" i="1"/>
  <c r="E514" i="1"/>
  <c r="E388" i="1"/>
  <c r="E374" i="1"/>
  <c r="E558" i="1"/>
  <c r="E550" i="1"/>
  <c r="E512" i="1"/>
  <c r="E500" i="1"/>
  <c r="E438" i="1"/>
  <c r="E562" i="1"/>
  <c r="E556" i="1"/>
  <c r="E530" i="1"/>
  <c r="E524" i="1"/>
  <c r="E458" i="1"/>
  <c r="E430" i="1"/>
  <c r="E518" i="1"/>
  <c r="E506" i="1"/>
  <c r="E402" i="1"/>
  <c r="E396" i="1"/>
  <c r="E390" i="1"/>
  <c r="E384" i="1"/>
  <c r="E378" i="1"/>
  <c r="E372" i="1"/>
  <c r="E606" i="1"/>
  <c r="E580" i="1"/>
  <c r="E574" i="1"/>
  <c r="E542" i="1"/>
  <c r="E450" i="1"/>
  <c r="E592" i="1"/>
  <c r="E586" i="1"/>
  <c r="E470" i="1"/>
  <c r="E442" i="1"/>
  <c r="E534" i="1"/>
  <c r="E528" i="1"/>
  <c r="E490" i="1"/>
  <c r="E462" i="1"/>
  <c r="N43" i="3"/>
  <c r="I43" i="3"/>
  <c r="N23" i="3"/>
  <c r="N22" i="3"/>
  <c r="E29" i="3"/>
  <c r="E22" i="3"/>
  <c r="E31" i="3"/>
  <c r="E23" i="3"/>
  <c r="E33" i="3"/>
  <c r="E25" i="3"/>
  <c r="E32" i="3"/>
  <c r="E24" i="3"/>
  <c r="E26" i="3"/>
  <c r="E27" i="3"/>
  <c r="E30" i="3"/>
  <c r="E28" i="3"/>
  <c r="E382" i="1"/>
  <c r="E594" i="1"/>
  <c r="E572" i="1"/>
  <c r="E566" i="1"/>
  <c r="E544" i="1"/>
  <c r="E522" i="1"/>
  <c r="E516" i="1"/>
  <c r="E434" i="1"/>
  <c r="E414" i="1"/>
  <c r="E610" i="1"/>
  <c r="E588" i="1"/>
  <c r="E582" i="1"/>
  <c r="E560" i="1"/>
  <c r="E538" i="1"/>
  <c r="E532" i="1"/>
  <c r="E510" i="1"/>
  <c r="E466" i="1"/>
  <c r="E446" i="1"/>
  <c r="E386" i="1"/>
  <c r="E604" i="1"/>
  <c r="E598" i="1"/>
  <c r="E576" i="1"/>
  <c r="E554" i="1"/>
  <c r="E548" i="1"/>
  <c r="E526" i="1"/>
  <c r="E498" i="1"/>
  <c r="E478" i="1"/>
  <c r="E426" i="1"/>
  <c r="E397" i="1"/>
  <c r="E401" i="1"/>
  <c r="E405" i="1"/>
  <c r="E409" i="1"/>
  <c r="E413" i="1"/>
  <c r="E417" i="1"/>
  <c r="E421" i="1"/>
  <c r="E425" i="1"/>
  <c r="E429" i="1"/>
  <c r="E433" i="1"/>
  <c r="E437" i="1"/>
  <c r="E441" i="1"/>
  <c r="E445" i="1"/>
  <c r="E449" i="1"/>
  <c r="E453" i="1"/>
  <c r="E457" i="1"/>
  <c r="E461" i="1"/>
  <c r="E465" i="1"/>
  <c r="E469" i="1"/>
  <c r="E473" i="1"/>
  <c r="E477" i="1"/>
  <c r="E481" i="1"/>
  <c r="E485" i="1"/>
  <c r="E489" i="1"/>
  <c r="E493" i="1"/>
  <c r="E497" i="1"/>
  <c r="E501" i="1"/>
  <c r="E505" i="1"/>
  <c r="E509" i="1"/>
  <c r="E513" i="1"/>
  <c r="E517" i="1"/>
  <c r="E521" i="1"/>
  <c r="E525" i="1"/>
  <c r="E529" i="1"/>
  <c r="E533" i="1"/>
  <c r="E537" i="1"/>
  <c r="E541" i="1"/>
  <c r="E545" i="1"/>
  <c r="E549" i="1"/>
  <c r="E553" i="1"/>
  <c r="E557" i="1"/>
  <c r="E561" i="1"/>
  <c r="E565" i="1"/>
  <c r="E569" i="1"/>
  <c r="E573" i="1"/>
  <c r="E577" i="1"/>
  <c r="E581" i="1"/>
  <c r="E585" i="1"/>
  <c r="E589" i="1"/>
  <c r="L60" i="1" s="1"/>
  <c r="E593" i="1"/>
  <c r="E597" i="1"/>
  <c r="E601" i="1"/>
  <c r="E605" i="1"/>
  <c r="E609" i="1"/>
  <c r="E373" i="1"/>
  <c r="E377" i="1"/>
  <c r="E381" i="1"/>
  <c r="E385" i="1"/>
  <c r="E389" i="1"/>
  <c r="E393" i="1"/>
  <c r="E399" i="1"/>
  <c r="E403" i="1"/>
  <c r="E407" i="1"/>
  <c r="E411" i="1"/>
  <c r="E415" i="1"/>
  <c r="E419" i="1"/>
  <c r="E423" i="1"/>
  <c r="E427" i="1"/>
  <c r="E431" i="1"/>
  <c r="E435" i="1"/>
  <c r="E439" i="1"/>
  <c r="E443" i="1"/>
  <c r="E447" i="1"/>
  <c r="E451" i="1"/>
  <c r="E455" i="1"/>
  <c r="E459" i="1"/>
  <c r="E463" i="1"/>
  <c r="E467" i="1"/>
  <c r="E471" i="1"/>
  <c r="E475" i="1"/>
  <c r="E479" i="1"/>
  <c r="E483" i="1"/>
  <c r="E487" i="1"/>
  <c r="E491" i="1"/>
  <c r="E495" i="1"/>
  <c r="E499" i="1"/>
  <c r="E503" i="1"/>
  <c r="E507" i="1"/>
  <c r="E511" i="1"/>
  <c r="E515" i="1"/>
  <c r="E519" i="1"/>
  <c r="E523" i="1"/>
  <c r="E527" i="1"/>
  <c r="E531" i="1"/>
  <c r="E535" i="1"/>
  <c r="E539" i="1"/>
  <c r="E543" i="1"/>
  <c r="E547" i="1"/>
  <c r="E551" i="1"/>
  <c r="E555" i="1"/>
  <c r="E559" i="1"/>
  <c r="E563" i="1"/>
  <c r="E567" i="1"/>
  <c r="E571" i="1"/>
  <c r="E575" i="1"/>
  <c r="E579" i="1"/>
  <c r="E583" i="1"/>
  <c r="E587" i="1"/>
  <c r="E591" i="1"/>
  <c r="E595" i="1"/>
  <c r="E599" i="1"/>
  <c r="E603" i="1"/>
  <c r="E607" i="1"/>
  <c r="E611" i="1"/>
  <c r="E375" i="1"/>
  <c r="E379" i="1"/>
  <c r="E383" i="1"/>
  <c r="E387" i="1"/>
  <c r="E391" i="1"/>
  <c r="E395" i="1"/>
  <c r="E400" i="1"/>
  <c r="E404" i="1"/>
  <c r="E408" i="1"/>
  <c r="E412" i="1"/>
  <c r="E416" i="1"/>
  <c r="E420" i="1"/>
  <c r="E424" i="1"/>
  <c r="E428" i="1"/>
  <c r="E432" i="1"/>
  <c r="E436" i="1"/>
  <c r="E440" i="1"/>
  <c r="E444" i="1"/>
  <c r="E448" i="1"/>
  <c r="E452" i="1"/>
  <c r="E456" i="1"/>
  <c r="E460" i="1"/>
  <c r="E464" i="1"/>
  <c r="E468" i="1"/>
  <c r="E472" i="1"/>
  <c r="E476" i="1"/>
  <c r="E480" i="1"/>
  <c r="E484" i="1"/>
  <c r="E488" i="1"/>
  <c r="E492" i="1"/>
  <c r="E496" i="1"/>
  <c r="E392" i="1"/>
  <c r="E376" i="1"/>
  <c r="E600" i="1"/>
  <c r="E584" i="1"/>
  <c r="E568" i="1"/>
  <c r="E552" i="1"/>
  <c r="E536" i="1"/>
  <c r="E520" i="1"/>
  <c r="E504" i="1"/>
  <c r="E486" i="1"/>
  <c r="E454" i="1"/>
  <c r="E422" i="1"/>
  <c r="E334" i="1"/>
  <c r="E342" i="1"/>
  <c r="E262" i="1"/>
  <c r="E171" i="1"/>
  <c r="E117" i="1"/>
  <c r="E33" i="1"/>
  <c r="E12" i="1"/>
  <c r="C13" i="1" s="1"/>
  <c r="D13" i="1" s="1"/>
  <c r="E149" i="1"/>
  <c r="E69" i="1"/>
  <c r="E63" i="1"/>
  <c r="E272" i="1"/>
  <c r="E175" i="1"/>
  <c r="E25" i="1"/>
  <c r="E181" i="1"/>
  <c r="E30" i="1"/>
  <c r="E19" i="1"/>
  <c r="E267" i="1"/>
  <c r="E255" i="1"/>
  <c r="E223" i="1"/>
  <c r="E216" i="1"/>
  <c r="E143" i="1"/>
  <c r="E123" i="1"/>
  <c r="E83" i="1"/>
  <c r="E57" i="1"/>
  <c r="E38" i="1"/>
  <c r="E21" i="1"/>
  <c r="E15" i="1"/>
  <c r="E326" i="1"/>
  <c r="E228" i="1"/>
  <c r="E203" i="1"/>
  <c r="E95" i="1"/>
  <c r="E346" i="1"/>
  <c r="E286" i="1"/>
  <c r="E246" i="1"/>
  <c r="E233" i="1"/>
  <c r="E215" i="1"/>
  <c r="E189" i="1"/>
  <c r="E101" i="1"/>
  <c r="E49" i="1"/>
  <c r="E259" i="1"/>
  <c r="E127" i="1"/>
  <c r="E55" i="1"/>
  <c r="E232" i="1"/>
  <c r="E133" i="1"/>
  <c r="E24" i="1"/>
  <c r="E13" i="1"/>
  <c r="E350" i="1"/>
  <c r="E276" i="1"/>
  <c r="E263" i="1"/>
  <c r="E225" i="1"/>
  <c r="E206" i="1"/>
  <c r="E159" i="1"/>
  <c r="E139" i="1"/>
  <c r="E85" i="1"/>
  <c r="E79" i="1"/>
  <c r="E34" i="1"/>
  <c r="E29" i="1"/>
  <c r="E356" i="1"/>
  <c r="E236" i="1"/>
  <c r="E199" i="1"/>
  <c r="E165" i="1"/>
  <c r="E111" i="1"/>
  <c r="E91" i="1"/>
  <c r="E71" i="1"/>
  <c r="E65" i="1"/>
  <c r="E39" i="1"/>
  <c r="E208" i="1"/>
  <c r="E155" i="1"/>
  <c r="E42" i="1"/>
  <c r="E14" i="1"/>
  <c r="E238" i="1"/>
  <c r="E195" i="1"/>
  <c r="E107" i="1"/>
  <c r="E330" i="1"/>
  <c r="E23" i="1"/>
  <c r="E32" i="1"/>
  <c r="E37" i="1"/>
  <c r="E243" i="1"/>
  <c r="E256" i="1"/>
  <c r="E292" i="1"/>
  <c r="E352" i="1"/>
  <c r="E368" i="1"/>
  <c r="E18" i="1"/>
  <c r="E27" i="1"/>
  <c r="E41" i="1"/>
  <c r="E53" i="1"/>
  <c r="E67" i="1"/>
  <c r="E99" i="1"/>
  <c r="E115" i="1"/>
  <c r="E131" i="1"/>
  <c r="E147" i="1"/>
  <c r="E163" i="1"/>
  <c r="E179" i="1"/>
  <c r="E183" i="1"/>
  <c r="E197" i="1"/>
  <c r="E209" i="1"/>
  <c r="E239" i="1"/>
  <c r="E252" i="1"/>
  <c r="E260" i="1"/>
  <c r="E278" i="1"/>
  <c r="E302" i="1"/>
  <c r="E318" i="1"/>
  <c r="E47" i="1"/>
  <c r="E212" i="1"/>
  <c r="E273" i="1"/>
  <c r="E362" i="1"/>
  <c r="E17" i="1"/>
  <c r="E22" i="1"/>
  <c r="E31" i="1"/>
  <c r="E40" i="1"/>
  <c r="E73" i="1"/>
  <c r="E81" i="1"/>
  <c r="E93" i="1"/>
  <c r="E109" i="1"/>
  <c r="E125" i="1"/>
  <c r="E141" i="1"/>
  <c r="E157" i="1"/>
  <c r="E173" i="1"/>
  <c r="E219" i="1"/>
  <c r="E222" i="1"/>
  <c r="E257" i="1"/>
  <c r="E288" i="1"/>
  <c r="E298" i="1"/>
  <c r="E314" i="1"/>
  <c r="E371" i="1"/>
  <c r="E369" i="1"/>
  <c r="E367" i="1"/>
  <c r="E365" i="1"/>
  <c r="E363" i="1"/>
  <c r="E361" i="1"/>
  <c r="E359" i="1"/>
  <c r="E357" i="1"/>
  <c r="E355" i="1"/>
  <c r="E353" i="1"/>
  <c r="E351" i="1"/>
  <c r="E349" i="1"/>
  <c r="E347" i="1"/>
  <c r="E345" i="1"/>
  <c r="E343" i="1"/>
  <c r="E341" i="1"/>
  <c r="E339" i="1"/>
  <c r="E337" i="1"/>
  <c r="E335" i="1"/>
  <c r="E333" i="1"/>
  <c r="E331" i="1"/>
  <c r="E329" i="1"/>
  <c r="E327" i="1"/>
  <c r="E325" i="1"/>
  <c r="E323" i="1"/>
  <c r="E321" i="1"/>
  <c r="E319" i="1"/>
  <c r="E317" i="1"/>
  <c r="E315" i="1"/>
  <c r="E313" i="1"/>
  <c r="E311" i="1"/>
  <c r="E309" i="1"/>
  <c r="E307" i="1"/>
  <c r="E305" i="1"/>
  <c r="E303" i="1"/>
  <c r="E301" i="1"/>
  <c r="E299" i="1"/>
  <c r="E297" i="1"/>
  <c r="E295" i="1"/>
  <c r="E293" i="1"/>
  <c r="E291" i="1"/>
  <c r="E289" i="1"/>
  <c r="E287" i="1"/>
  <c r="E285" i="1"/>
  <c r="E283" i="1"/>
  <c r="E281" i="1"/>
  <c r="E279" i="1"/>
  <c r="E277" i="1"/>
  <c r="E275" i="1"/>
  <c r="E364" i="1"/>
  <c r="E348" i="1"/>
  <c r="E332" i="1"/>
  <c r="E316" i="1"/>
  <c r="E300" i="1"/>
  <c r="E284" i="1"/>
  <c r="E370" i="1"/>
  <c r="E354" i="1"/>
  <c r="E338" i="1"/>
  <c r="E322" i="1"/>
  <c r="E306" i="1"/>
  <c r="E290" i="1"/>
  <c r="E274" i="1"/>
  <c r="E269" i="1"/>
  <c r="E266" i="1"/>
  <c r="E261" i="1"/>
  <c r="E258" i="1"/>
  <c r="E253" i="1"/>
  <c r="E250" i="1"/>
  <c r="E245" i="1"/>
  <c r="E242" i="1"/>
  <c r="E237" i="1"/>
  <c r="E234" i="1"/>
  <c r="E229" i="1"/>
  <c r="E226" i="1"/>
  <c r="E221" i="1"/>
  <c r="E218" i="1"/>
  <c r="E213" i="1"/>
  <c r="E210" i="1"/>
  <c r="E205" i="1"/>
  <c r="E360" i="1"/>
  <c r="E344" i="1"/>
  <c r="E328" i="1"/>
  <c r="E312" i="1"/>
  <c r="E296" i="1"/>
  <c r="E280" i="1"/>
  <c r="E202" i="1"/>
  <c r="E200" i="1"/>
  <c r="E198" i="1"/>
  <c r="E196" i="1"/>
  <c r="E194" i="1"/>
  <c r="E192" i="1"/>
  <c r="E190" i="1"/>
  <c r="E188" i="1"/>
  <c r="E186" i="1"/>
  <c r="E184" i="1"/>
  <c r="E182" i="1"/>
  <c r="E180" i="1"/>
  <c r="E178" i="1"/>
  <c r="E176" i="1"/>
  <c r="E174" i="1"/>
  <c r="E172" i="1"/>
  <c r="E170" i="1"/>
  <c r="E168" i="1"/>
  <c r="E166" i="1"/>
  <c r="E164" i="1"/>
  <c r="E162" i="1"/>
  <c r="E160" i="1"/>
  <c r="E158" i="1"/>
  <c r="E156" i="1"/>
  <c r="E154" i="1"/>
  <c r="E152" i="1"/>
  <c r="E150" i="1"/>
  <c r="E148" i="1"/>
  <c r="E146" i="1"/>
  <c r="E144" i="1"/>
  <c r="E142" i="1"/>
  <c r="E140" i="1"/>
  <c r="E138" i="1"/>
  <c r="E136" i="1"/>
  <c r="E134" i="1"/>
  <c r="E132" i="1"/>
  <c r="E130" i="1"/>
  <c r="E128" i="1"/>
  <c r="E126" i="1"/>
  <c r="E124" i="1"/>
  <c r="E122" i="1"/>
  <c r="E120" i="1"/>
  <c r="E118" i="1"/>
  <c r="E116" i="1"/>
  <c r="E114" i="1"/>
  <c r="E112" i="1"/>
  <c r="E110" i="1"/>
  <c r="E108" i="1"/>
  <c r="E106" i="1"/>
  <c r="E104" i="1"/>
  <c r="E102" i="1"/>
  <c r="E100" i="1"/>
  <c r="E98" i="1"/>
  <c r="E96" i="1"/>
  <c r="E94" i="1"/>
  <c r="E92" i="1"/>
  <c r="E90" i="1"/>
  <c r="E88" i="1"/>
  <c r="E86" i="1"/>
  <c r="E84" i="1"/>
  <c r="E82" i="1"/>
  <c r="E80" i="1"/>
  <c r="E78" i="1"/>
  <c r="E76" i="1"/>
  <c r="E74" i="1"/>
  <c r="E7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366" i="1"/>
  <c r="E358" i="1"/>
  <c r="E308" i="1"/>
  <c r="E304" i="1"/>
  <c r="E268" i="1"/>
  <c r="E265" i="1"/>
  <c r="E248" i="1"/>
  <c r="E235" i="1"/>
  <c r="E231" i="1"/>
  <c r="E214" i="1"/>
  <c r="E204" i="1"/>
  <c r="E324" i="1"/>
  <c r="E320" i="1"/>
  <c r="E271" i="1"/>
  <c r="E254" i="1"/>
  <c r="E244" i="1"/>
  <c r="E241" i="1"/>
  <c r="E224" i="1"/>
  <c r="E211" i="1"/>
  <c r="E207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75" i="1"/>
  <c r="E59" i="1"/>
  <c r="E43" i="1"/>
  <c r="E36" i="1"/>
  <c r="E28" i="1"/>
  <c r="E20" i="1"/>
  <c r="E340" i="1"/>
  <c r="E336" i="1"/>
  <c r="E282" i="1"/>
  <c r="E264" i="1"/>
  <c r="E251" i="1"/>
  <c r="E247" i="1"/>
  <c r="E230" i="1"/>
  <c r="E220" i="1"/>
  <c r="E217" i="1"/>
  <c r="E77" i="1"/>
  <c r="E61" i="1"/>
  <c r="E45" i="1"/>
  <c r="E16" i="1"/>
  <c r="E26" i="1"/>
  <c r="E35" i="1"/>
  <c r="E51" i="1"/>
  <c r="E87" i="1"/>
  <c r="E103" i="1"/>
  <c r="E119" i="1"/>
  <c r="E135" i="1"/>
  <c r="E151" i="1"/>
  <c r="E167" i="1"/>
  <c r="E187" i="1"/>
  <c r="E191" i="1"/>
  <c r="E227" i="1"/>
  <c r="E240" i="1"/>
  <c r="E249" i="1"/>
  <c r="E270" i="1"/>
  <c r="E294" i="1"/>
  <c r="E310" i="1"/>
  <c r="L21" i="1" l="1"/>
  <c r="D43" i="3"/>
  <c r="C44" i="3"/>
  <c r="D44" i="3" s="1"/>
  <c r="C23" i="3"/>
  <c r="D23" i="3" s="1"/>
  <c r="C15" i="3"/>
  <c r="C12" i="3"/>
  <c r="C16" i="3"/>
  <c r="C13" i="3"/>
  <c r="C11" i="3"/>
  <c r="C14" i="3"/>
  <c r="L44" i="1"/>
  <c r="N44" i="1" s="1"/>
  <c r="L19" i="1"/>
  <c r="N19" i="1" s="1"/>
  <c r="L25" i="1"/>
  <c r="N25" i="1" s="1"/>
  <c r="L32" i="1"/>
  <c r="L48" i="1"/>
  <c r="N48" i="1" s="1"/>
  <c r="L57" i="1"/>
  <c r="N57" i="1" s="1"/>
  <c r="L49" i="1"/>
  <c r="N49" i="1" s="1"/>
  <c r="M45" i="3"/>
  <c r="N44" i="3"/>
  <c r="H45" i="3"/>
  <c r="I44" i="3"/>
  <c r="C45" i="3"/>
  <c r="D45" i="3" s="1"/>
  <c r="M25" i="3"/>
  <c r="N24" i="3"/>
  <c r="I23" i="3"/>
  <c r="H24" i="3"/>
  <c r="L20" i="1"/>
  <c r="N20" i="1" s="1"/>
  <c r="L37" i="1"/>
  <c r="N37" i="1" s="1"/>
  <c r="L61" i="1"/>
  <c r="N61" i="1" s="1"/>
  <c r="L45" i="1"/>
  <c r="L33" i="1"/>
  <c r="N33" i="1" s="1"/>
  <c r="L27" i="1"/>
  <c r="N27" i="1" s="1"/>
  <c r="L29" i="1"/>
  <c r="N29" i="1" s="1"/>
  <c r="L35" i="1"/>
  <c r="N35" i="1" s="1"/>
  <c r="L36" i="1"/>
  <c r="N36" i="1" s="1"/>
  <c r="L43" i="1"/>
  <c r="N43" i="1" s="1"/>
  <c r="L58" i="1"/>
  <c r="N58" i="1" s="1"/>
  <c r="L50" i="1"/>
  <c r="N50" i="1" s="1"/>
  <c r="L42" i="1"/>
  <c r="N42" i="1" s="1"/>
  <c r="L40" i="1"/>
  <c r="N40" i="1" s="1"/>
  <c r="L53" i="1"/>
  <c r="L34" i="1"/>
  <c r="N34" i="1" s="1"/>
  <c r="L23" i="1"/>
  <c r="N23" i="1" s="1"/>
  <c r="L22" i="1"/>
  <c r="N22" i="1" s="1"/>
  <c r="L30" i="1"/>
  <c r="N30" i="1" s="1"/>
  <c r="L46" i="1"/>
  <c r="N46" i="1" s="1"/>
  <c r="L55" i="1"/>
  <c r="N55" i="1" s="1"/>
  <c r="L47" i="1"/>
  <c r="N47" i="1" s="1"/>
  <c r="L59" i="1"/>
  <c r="N59" i="1" s="1"/>
  <c r="L52" i="1"/>
  <c r="N52" i="1" s="1"/>
  <c r="L54" i="1"/>
  <c r="N54" i="1" s="1"/>
  <c r="L38" i="1"/>
  <c r="N38" i="1" s="1"/>
  <c r="L18" i="1"/>
  <c r="N18" i="1" s="1"/>
  <c r="L26" i="1"/>
  <c r="N26" i="1" s="1"/>
  <c r="L24" i="1"/>
  <c r="L31" i="1"/>
  <c r="N31" i="1" s="1"/>
  <c r="L39" i="1"/>
  <c r="N39" i="1" s="1"/>
  <c r="L28" i="1"/>
  <c r="N28" i="1" s="1"/>
  <c r="L41" i="1"/>
  <c r="N41" i="1" s="1"/>
  <c r="L51" i="1"/>
  <c r="N51" i="1" s="1"/>
  <c r="L56" i="1"/>
  <c r="N56" i="1" s="1"/>
  <c r="L16" i="1"/>
  <c r="N16" i="1" s="1"/>
  <c r="C14" i="1"/>
  <c r="C15" i="1" s="1"/>
  <c r="L12" i="1"/>
  <c r="L14" i="1"/>
  <c r="N14" i="1" s="1"/>
  <c r="L15" i="1"/>
  <c r="N15" i="1" s="1"/>
  <c r="L17" i="1"/>
  <c r="N17" i="1" s="1"/>
  <c r="L13" i="1"/>
  <c r="N13" i="1" s="1"/>
  <c r="N32" i="1"/>
  <c r="N45" i="1"/>
  <c r="N24" i="1"/>
  <c r="N53" i="1"/>
  <c r="N21" i="1"/>
  <c r="N60" i="1"/>
  <c r="C24" i="3" l="1"/>
  <c r="D24" i="3" s="1"/>
  <c r="K3" i="1"/>
  <c r="N3" i="1" s="1"/>
  <c r="E3" i="1"/>
  <c r="F3" i="1" s="1"/>
  <c r="D14" i="1"/>
  <c r="N45" i="3"/>
  <c r="M46" i="3"/>
  <c r="I45" i="3"/>
  <c r="H46" i="3"/>
  <c r="C46" i="3"/>
  <c r="D46" i="3" s="1"/>
  <c r="N25" i="3"/>
  <c r="M26" i="3"/>
  <c r="H25" i="3"/>
  <c r="I24" i="3"/>
  <c r="E3" i="3"/>
  <c r="H3" i="3" s="1"/>
  <c r="C25" i="3"/>
  <c r="D25" i="3" s="1"/>
  <c r="N12" i="1"/>
  <c r="N62" i="1" s="1"/>
  <c r="L62" i="1"/>
  <c r="D15" i="1"/>
  <c r="C16" i="1"/>
  <c r="M47" i="3" l="1"/>
  <c r="N46" i="3"/>
  <c r="H47" i="3"/>
  <c r="I46" i="3"/>
  <c r="C47" i="3"/>
  <c r="D47" i="3" s="1"/>
  <c r="M27" i="3"/>
  <c r="N26" i="3"/>
  <c r="H26" i="3"/>
  <c r="I25" i="3"/>
  <c r="C26" i="3"/>
  <c r="D26" i="3" s="1"/>
  <c r="D16" i="1"/>
  <c r="C17" i="1"/>
  <c r="N47" i="3" l="1"/>
  <c r="M48" i="3"/>
  <c r="I47" i="3"/>
  <c r="H48" i="3"/>
  <c r="C48" i="3"/>
  <c r="D48" i="3" s="1"/>
  <c r="N27" i="3"/>
  <c r="M28" i="3"/>
  <c r="I26" i="3"/>
  <c r="H27" i="3"/>
  <c r="C27" i="3"/>
  <c r="D27" i="3" s="1"/>
  <c r="D17" i="1"/>
  <c r="C18" i="1"/>
  <c r="M49" i="3" l="1"/>
  <c r="N48" i="3"/>
  <c r="H49" i="3"/>
  <c r="I48" i="3"/>
  <c r="C49" i="3"/>
  <c r="D49" i="3" s="1"/>
  <c r="M29" i="3"/>
  <c r="N28" i="3"/>
  <c r="I27" i="3"/>
  <c r="H28" i="3"/>
  <c r="C28" i="3"/>
  <c r="D28" i="3" s="1"/>
  <c r="C19" i="1"/>
  <c r="D18" i="1"/>
  <c r="N49" i="3" l="1"/>
  <c r="M50" i="3"/>
  <c r="I49" i="3"/>
  <c r="H50" i="3"/>
  <c r="C50" i="3"/>
  <c r="D50" i="3" s="1"/>
  <c r="N29" i="3"/>
  <c r="M30" i="3"/>
  <c r="I28" i="3"/>
  <c r="H29" i="3"/>
  <c r="C29" i="3"/>
  <c r="D29" i="3" s="1"/>
  <c r="D19" i="1"/>
  <c r="C20" i="1"/>
  <c r="M51" i="3" l="1"/>
  <c r="N50" i="3"/>
  <c r="H51" i="3"/>
  <c r="I50" i="3"/>
  <c r="C51" i="3"/>
  <c r="D51" i="3" s="1"/>
  <c r="N30" i="3"/>
  <c r="M31" i="3"/>
  <c r="I29" i="3"/>
  <c r="H30" i="3"/>
  <c r="C30" i="3"/>
  <c r="D30" i="3" s="1"/>
  <c r="C21" i="1"/>
  <c r="D20" i="1"/>
  <c r="N51" i="3" l="1"/>
  <c r="M52" i="3"/>
  <c r="I51" i="3"/>
  <c r="H52" i="3"/>
  <c r="C52" i="3"/>
  <c r="D52" i="3" s="1"/>
  <c r="N31" i="3"/>
  <c r="M32" i="3"/>
  <c r="I30" i="3"/>
  <c r="H31" i="3"/>
  <c r="C31" i="3"/>
  <c r="D31" i="3" s="1"/>
  <c r="D21" i="1"/>
  <c r="C22" i="1"/>
  <c r="M53" i="3" l="1"/>
  <c r="N53" i="3" s="1"/>
  <c r="N52" i="3"/>
  <c r="H53" i="3"/>
  <c r="I53" i="3" s="1"/>
  <c r="I52" i="3"/>
  <c r="C53" i="3"/>
  <c r="D53" i="3" s="1"/>
  <c r="D14" i="3" s="1"/>
  <c r="E14" i="3" s="1"/>
  <c r="G24" i="3" s="1"/>
  <c r="M33" i="3"/>
  <c r="N33" i="3" s="1"/>
  <c r="N32" i="3"/>
  <c r="H32" i="3"/>
  <c r="I31" i="3"/>
  <c r="C32" i="3"/>
  <c r="D32" i="3" s="1"/>
  <c r="C23" i="1"/>
  <c r="D22" i="1"/>
  <c r="D15" i="3" l="1"/>
  <c r="E15" i="3" s="1"/>
  <c r="G25" i="3" s="1"/>
  <c r="D13" i="3"/>
  <c r="E13" i="3" s="1"/>
  <c r="G23" i="3" s="1"/>
  <c r="D16" i="3"/>
  <c r="E16" i="3" s="1"/>
  <c r="G26" i="3" s="1"/>
  <c r="H33" i="3"/>
  <c r="I33" i="3" s="1"/>
  <c r="D12" i="3" s="1"/>
  <c r="E12" i="3" s="1"/>
  <c r="G22" i="3" s="1"/>
  <c r="I32" i="3"/>
  <c r="C33" i="3"/>
  <c r="D33" i="3" s="1"/>
  <c r="D11" i="3" s="1"/>
  <c r="D23" i="1"/>
  <c r="C24" i="1"/>
  <c r="C25" i="1" l="1"/>
  <c r="D24" i="1"/>
  <c r="C26" i="1" l="1"/>
  <c r="D25" i="1"/>
  <c r="D26" i="1" l="1"/>
  <c r="C27" i="1"/>
  <c r="D27" i="1" l="1"/>
  <c r="C28" i="1"/>
  <c r="D28" i="1" l="1"/>
  <c r="C29" i="1"/>
  <c r="C30" i="1" l="1"/>
  <c r="D29" i="1"/>
  <c r="D30" i="1" l="1"/>
  <c r="C31" i="1"/>
  <c r="C32" i="1" l="1"/>
  <c r="D31" i="1"/>
  <c r="D32" i="1" l="1"/>
  <c r="C33" i="1"/>
  <c r="C34" i="1" l="1"/>
  <c r="D33" i="1"/>
  <c r="C35" i="1" l="1"/>
  <c r="D34" i="1"/>
  <c r="D35" i="1" l="1"/>
  <c r="C36" i="1"/>
  <c r="C37" i="1" l="1"/>
  <c r="D36" i="1"/>
  <c r="D37" i="1" l="1"/>
  <c r="C38" i="1"/>
  <c r="C39" i="1" l="1"/>
  <c r="D38" i="1"/>
  <c r="D39" i="1" l="1"/>
  <c r="C40" i="1"/>
  <c r="D40" i="1" l="1"/>
  <c r="C41" i="1"/>
  <c r="C42" i="1" l="1"/>
  <c r="D41" i="1"/>
  <c r="C43" i="1" l="1"/>
  <c r="D42" i="1"/>
  <c r="D43" i="1" l="1"/>
  <c r="C44" i="1"/>
  <c r="D44" i="1" l="1"/>
  <c r="C45" i="1"/>
  <c r="C46" i="1" l="1"/>
  <c r="D45" i="1"/>
  <c r="C47" i="1" l="1"/>
  <c r="D46" i="1"/>
  <c r="C48" i="1" l="1"/>
  <c r="D47" i="1"/>
  <c r="D48" i="1" l="1"/>
  <c r="C49" i="1"/>
  <c r="C50" i="1" l="1"/>
  <c r="D49" i="1"/>
  <c r="D50" i="1" l="1"/>
  <c r="C51" i="1"/>
  <c r="D51" i="1" l="1"/>
  <c r="C52" i="1"/>
  <c r="D52" i="1" l="1"/>
  <c r="C53" i="1"/>
  <c r="C54" i="1" l="1"/>
  <c r="D53" i="1"/>
  <c r="C55" i="1" l="1"/>
  <c r="D54" i="1"/>
  <c r="D55" i="1" l="1"/>
  <c r="C56" i="1"/>
  <c r="C57" i="1" l="1"/>
  <c r="D56" i="1"/>
  <c r="D57" i="1" l="1"/>
  <c r="C58" i="1"/>
  <c r="D58" i="1" l="1"/>
  <c r="C59" i="1"/>
  <c r="D59" i="1" l="1"/>
  <c r="C60" i="1"/>
  <c r="C61" i="1" l="1"/>
  <c r="D60" i="1"/>
  <c r="C62" i="1" l="1"/>
  <c r="D61" i="1"/>
  <c r="D62" i="1" l="1"/>
  <c r="C63" i="1"/>
  <c r="C64" i="1" l="1"/>
  <c r="D63" i="1"/>
  <c r="C65" i="1" l="1"/>
  <c r="D64" i="1"/>
  <c r="C66" i="1" l="1"/>
  <c r="D65" i="1"/>
  <c r="D66" i="1" l="1"/>
  <c r="C67" i="1"/>
  <c r="C68" i="1" l="1"/>
  <c r="D67" i="1"/>
  <c r="D68" i="1" l="1"/>
  <c r="C69" i="1"/>
  <c r="C70" i="1" l="1"/>
  <c r="D69" i="1"/>
  <c r="C71" i="1" l="1"/>
  <c r="D70" i="1"/>
  <c r="C72" i="1" l="1"/>
  <c r="D71" i="1"/>
  <c r="C73" i="1" l="1"/>
  <c r="D72" i="1"/>
  <c r="D73" i="1" l="1"/>
  <c r="C74" i="1"/>
  <c r="C75" i="1" l="1"/>
  <c r="D74" i="1"/>
  <c r="D75" i="1" l="1"/>
  <c r="C76" i="1"/>
  <c r="D76" i="1" l="1"/>
  <c r="C77" i="1"/>
  <c r="D77" i="1" l="1"/>
  <c r="C78" i="1"/>
  <c r="C79" i="1" l="1"/>
  <c r="D78" i="1"/>
  <c r="C80" i="1" l="1"/>
  <c r="D79" i="1"/>
  <c r="D80" i="1" l="1"/>
  <c r="C81" i="1"/>
  <c r="C82" i="1" l="1"/>
  <c r="D81" i="1"/>
  <c r="D82" i="1" l="1"/>
  <c r="C83" i="1"/>
  <c r="D83" i="1" l="1"/>
  <c r="C84" i="1"/>
  <c r="D84" i="1" l="1"/>
  <c r="C85" i="1"/>
  <c r="D85" i="1" l="1"/>
  <c r="C86" i="1"/>
  <c r="C87" i="1" l="1"/>
  <c r="D86" i="1"/>
  <c r="D87" i="1" l="1"/>
  <c r="C88" i="1"/>
  <c r="C89" i="1" l="1"/>
  <c r="D88" i="1"/>
  <c r="D89" i="1" l="1"/>
  <c r="C90" i="1"/>
  <c r="C91" i="1" l="1"/>
  <c r="D90" i="1"/>
  <c r="C92" i="1" l="1"/>
  <c r="D91" i="1"/>
  <c r="C93" i="1" l="1"/>
  <c r="D92" i="1"/>
  <c r="C94" i="1" l="1"/>
  <c r="D93" i="1"/>
  <c r="C95" i="1" l="1"/>
  <c r="D94" i="1"/>
  <c r="D95" i="1" l="1"/>
  <c r="C96" i="1"/>
  <c r="C97" i="1" l="1"/>
  <c r="D96" i="1"/>
  <c r="D97" i="1" l="1"/>
  <c r="C98" i="1"/>
  <c r="C99" i="1" l="1"/>
  <c r="D98" i="1"/>
  <c r="C100" i="1" l="1"/>
  <c r="D99" i="1"/>
  <c r="C101" i="1" l="1"/>
  <c r="D100" i="1"/>
  <c r="D101" i="1" l="1"/>
  <c r="C102" i="1"/>
  <c r="C103" i="1" l="1"/>
  <c r="D102" i="1"/>
  <c r="C104" i="1" l="1"/>
  <c r="D103" i="1"/>
  <c r="C105" i="1" l="1"/>
  <c r="D104" i="1"/>
  <c r="D105" i="1" l="1"/>
  <c r="C106" i="1"/>
  <c r="C107" i="1" l="1"/>
  <c r="D106" i="1"/>
  <c r="C108" i="1" l="1"/>
  <c r="D107" i="1"/>
  <c r="C109" i="1" l="1"/>
  <c r="D108" i="1"/>
  <c r="C110" i="1" l="1"/>
  <c r="D109" i="1"/>
  <c r="C111" i="1" l="1"/>
  <c r="D110" i="1"/>
  <c r="D111" i="1" l="1"/>
  <c r="C112" i="1"/>
  <c r="C113" i="1" l="1"/>
  <c r="D112" i="1"/>
  <c r="D113" i="1" l="1"/>
  <c r="C114" i="1"/>
  <c r="C115" i="1" l="1"/>
  <c r="D114" i="1"/>
  <c r="C116" i="1" l="1"/>
  <c r="D115" i="1"/>
  <c r="C117" i="1" l="1"/>
  <c r="D116" i="1"/>
  <c r="C118" i="1" l="1"/>
  <c r="D117" i="1"/>
  <c r="C119" i="1" l="1"/>
  <c r="D118" i="1"/>
  <c r="D119" i="1" l="1"/>
  <c r="C120" i="1"/>
  <c r="C121" i="1" l="1"/>
  <c r="D120" i="1"/>
  <c r="D121" i="1" l="1"/>
  <c r="C122" i="1"/>
  <c r="C123" i="1" l="1"/>
  <c r="D122" i="1"/>
  <c r="C124" i="1" l="1"/>
  <c r="D123" i="1"/>
  <c r="C125" i="1" l="1"/>
  <c r="D124" i="1"/>
  <c r="C126" i="1" l="1"/>
  <c r="D125" i="1"/>
  <c r="C127" i="1" l="1"/>
  <c r="D126" i="1"/>
  <c r="D127" i="1" l="1"/>
  <c r="C128" i="1"/>
  <c r="C129" i="1" l="1"/>
  <c r="D128" i="1"/>
  <c r="D129" i="1" l="1"/>
  <c r="C130" i="1"/>
  <c r="C131" i="1" l="1"/>
  <c r="D130" i="1"/>
  <c r="C132" i="1" l="1"/>
  <c r="D131" i="1"/>
  <c r="C133" i="1" l="1"/>
  <c r="D132" i="1"/>
  <c r="D133" i="1" l="1"/>
  <c r="C134" i="1"/>
  <c r="C135" i="1" l="1"/>
  <c r="D134" i="1"/>
  <c r="D135" i="1" l="1"/>
  <c r="C136" i="1"/>
  <c r="C137" i="1" l="1"/>
  <c r="D136" i="1"/>
  <c r="D137" i="1" l="1"/>
  <c r="C138" i="1"/>
  <c r="C139" i="1" l="1"/>
  <c r="D138" i="1"/>
  <c r="C140" i="1" l="1"/>
  <c r="D139" i="1"/>
  <c r="C141" i="1" l="1"/>
  <c r="D140" i="1"/>
  <c r="C142" i="1" l="1"/>
  <c r="D141" i="1"/>
  <c r="C143" i="1" l="1"/>
  <c r="D142" i="1"/>
  <c r="D143" i="1" l="1"/>
  <c r="C144" i="1"/>
  <c r="C145" i="1" l="1"/>
  <c r="D144" i="1"/>
  <c r="D145" i="1" l="1"/>
  <c r="C146" i="1"/>
  <c r="C147" i="1" l="1"/>
  <c r="D146" i="1"/>
  <c r="C148" i="1" l="1"/>
  <c r="D147" i="1"/>
  <c r="C149" i="1" l="1"/>
  <c r="D148" i="1"/>
  <c r="C150" i="1" l="1"/>
  <c r="D149" i="1"/>
  <c r="C151" i="1" l="1"/>
  <c r="D150" i="1"/>
  <c r="D151" i="1" l="1"/>
  <c r="C152" i="1"/>
  <c r="C153" i="1" l="1"/>
  <c r="D152" i="1"/>
  <c r="D153" i="1" l="1"/>
  <c r="C154" i="1"/>
  <c r="C155" i="1" l="1"/>
  <c r="D154" i="1"/>
  <c r="C156" i="1" l="1"/>
  <c r="D155" i="1"/>
  <c r="C157" i="1" l="1"/>
  <c r="D156" i="1"/>
  <c r="C158" i="1" l="1"/>
  <c r="D157" i="1"/>
  <c r="C159" i="1" l="1"/>
  <c r="D158" i="1"/>
  <c r="D159" i="1" l="1"/>
  <c r="C160" i="1"/>
  <c r="C161" i="1" l="1"/>
  <c r="D160" i="1"/>
  <c r="D161" i="1" l="1"/>
  <c r="C162" i="1"/>
  <c r="C163" i="1" l="1"/>
  <c r="D162" i="1"/>
  <c r="C164" i="1" l="1"/>
  <c r="D163" i="1"/>
  <c r="C165" i="1" l="1"/>
  <c r="D164" i="1"/>
  <c r="D165" i="1" l="1"/>
  <c r="C166" i="1"/>
  <c r="C167" i="1" l="1"/>
  <c r="D166" i="1"/>
  <c r="D167" i="1" l="1"/>
  <c r="C168" i="1"/>
  <c r="C169" i="1" l="1"/>
  <c r="D168" i="1"/>
  <c r="D169" i="1" l="1"/>
  <c r="C170" i="1"/>
  <c r="C171" i="1" l="1"/>
  <c r="D170" i="1"/>
  <c r="C172" i="1" l="1"/>
  <c r="D171" i="1"/>
  <c r="C173" i="1" l="1"/>
  <c r="D172" i="1"/>
  <c r="D173" i="1" l="1"/>
  <c r="C174" i="1"/>
  <c r="C175" i="1" l="1"/>
  <c r="D174" i="1"/>
  <c r="C176" i="1" l="1"/>
  <c r="D175" i="1"/>
  <c r="C177" i="1" l="1"/>
  <c r="D176" i="1"/>
  <c r="D177" i="1" l="1"/>
  <c r="C178" i="1"/>
  <c r="C179" i="1" l="1"/>
  <c r="D178" i="1"/>
  <c r="C180" i="1" l="1"/>
  <c r="D179" i="1"/>
  <c r="C181" i="1" l="1"/>
  <c r="D180" i="1"/>
  <c r="C182" i="1" l="1"/>
  <c r="D181" i="1"/>
  <c r="C183" i="1" l="1"/>
  <c r="D182" i="1"/>
  <c r="D183" i="1" l="1"/>
  <c r="C184" i="1"/>
  <c r="C185" i="1" l="1"/>
  <c r="D184" i="1"/>
  <c r="D185" i="1" l="1"/>
  <c r="C186" i="1"/>
  <c r="C187" i="1" l="1"/>
  <c r="D186" i="1"/>
  <c r="C188" i="1" l="1"/>
  <c r="D187" i="1"/>
  <c r="C189" i="1" l="1"/>
  <c r="D188" i="1"/>
  <c r="C190" i="1" l="1"/>
  <c r="D189" i="1"/>
  <c r="C191" i="1" l="1"/>
  <c r="D190" i="1"/>
  <c r="D191" i="1" l="1"/>
  <c r="C192" i="1"/>
  <c r="C193" i="1" l="1"/>
  <c r="D192" i="1"/>
  <c r="D193" i="1" l="1"/>
  <c r="C194" i="1"/>
  <c r="C195" i="1" l="1"/>
  <c r="D194" i="1"/>
  <c r="C196" i="1" l="1"/>
  <c r="D195" i="1"/>
  <c r="C197" i="1" l="1"/>
  <c r="D196" i="1"/>
  <c r="C198" i="1" l="1"/>
  <c r="D197" i="1"/>
  <c r="C199" i="1" l="1"/>
  <c r="D198" i="1"/>
  <c r="D199" i="1" l="1"/>
  <c r="C200" i="1"/>
  <c r="C201" i="1" l="1"/>
  <c r="D200" i="1"/>
  <c r="D201" i="1" l="1"/>
  <c r="C202" i="1"/>
  <c r="C203" i="1" l="1"/>
  <c r="D202" i="1"/>
  <c r="D203" i="1" l="1"/>
  <c r="C204" i="1"/>
  <c r="C205" i="1" l="1"/>
  <c r="D204" i="1"/>
  <c r="D205" i="1" l="1"/>
  <c r="C206" i="1"/>
  <c r="C207" i="1" l="1"/>
  <c r="D206" i="1"/>
  <c r="D207" i="1" l="1"/>
  <c r="C208" i="1"/>
  <c r="C209" i="1" l="1"/>
  <c r="D208" i="1"/>
  <c r="D209" i="1" l="1"/>
  <c r="C210" i="1"/>
  <c r="C211" i="1" l="1"/>
  <c r="D210" i="1"/>
  <c r="D211" i="1" l="1"/>
  <c r="C212" i="1"/>
  <c r="C213" i="1" l="1"/>
  <c r="D212" i="1"/>
  <c r="D213" i="1" l="1"/>
  <c r="C214" i="1"/>
  <c r="C215" i="1" l="1"/>
  <c r="D214" i="1"/>
  <c r="D215" i="1" l="1"/>
  <c r="C216" i="1"/>
  <c r="C217" i="1" l="1"/>
  <c r="D216" i="1"/>
  <c r="D217" i="1" l="1"/>
  <c r="C218" i="1"/>
  <c r="C219" i="1" l="1"/>
  <c r="D218" i="1"/>
  <c r="D219" i="1" l="1"/>
  <c r="C220" i="1"/>
  <c r="C221" i="1" l="1"/>
  <c r="D220" i="1"/>
  <c r="D221" i="1" l="1"/>
  <c r="C222" i="1"/>
  <c r="C223" i="1" l="1"/>
  <c r="D222" i="1"/>
  <c r="D223" i="1" l="1"/>
  <c r="C224" i="1"/>
  <c r="C225" i="1" l="1"/>
  <c r="D224" i="1"/>
  <c r="D225" i="1" l="1"/>
  <c r="C226" i="1"/>
  <c r="C227" i="1" l="1"/>
  <c r="D226" i="1"/>
  <c r="D227" i="1" l="1"/>
  <c r="C228" i="1"/>
  <c r="C229" i="1" l="1"/>
  <c r="D228" i="1"/>
  <c r="D229" i="1" l="1"/>
  <c r="C230" i="1"/>
  <c r="C231" i="1" l="1"/>
  <c r="D230" i="1"/>
  <c r="D231" i="1" l="1"/>
  <c r="C232" i="1"/>
  <c r="C233" i="1" l="1"/>
  <c r="D232" i="1"/>
  <c r="D233" i="1" l="1"/>
  <c r="C234" i="1"/>
  <c r="C235" i="1" l="1"/>
  <c r="D234" i="1"/>
  <c r="D235" i="1" l="1"/>
  <c r="C236" i="1"/>
  <c r="C237" i="1" l="1"/>
  <c r="D236" i="1"/>
  <c r="D237" i="1" l="1"/>
  <c r="C238" i="1"/>
  <c r="C239" i="1" l="1"/>
  <c r="D238" i="1"/>
  <c r="D239" i="1" l="1"/>
  <c r="C240" i="1"/>
  <c r="C241" i="1" l="1"/>
  <c r="D240" i="1"/>
  <c r="D241" i="1" l="1"/>
  <c r="C242" i="1"/>
  <c r="C243" i="1" l="1"/>
  <c r="D242" i="1"/>
  <c r="D243" i="1" l="1"/>
  <c r="C244" i="1"/>
  <c r="C245" i="1" l="1"/>
  <c r="D244" i="1"/>
  <c r="D245" i="1" l="1"/>
  <c r="C246" i="1"/>
  <c r="C247" i="1" l="1"/>
  <c r="D246" i="1"/>
  <c r="D247" i="1" l="1"/>
  <c r="C248" i="1"/>
  <c r="C249" i="1" l="1"/>
  <c r="D248" i="1"/>
  <c r="D249" i="1" l="1"/>
  <c r="C250" i="1"/>
  <c r="C251" i="1" l="1"/>
  <c r="D250" i="1"/>
  <c r="D251" i="1" l="1"/>
  <c r="C252" i="1"/>
  <c r="C253" i="1" l="1"/>
  <c r="D252" i="1"/>
  <c r="D253" i="1" l="1"/>
  <c r="C254" i="1"/>
  <c r="C255" i="1" l="1"/>
  <c r="D254" i="1"/>
  <c r="D255" i="1" l="1"/>
  <c r="C256" i="1"/>
  <c r="C257" i="1" l="1"/>
  <c r="D256" i="1"/>
  <c r="D257" i="1" l="1"/>
  <c r="C258" i="1"/>
  <c r="C259" i="1" l="1"/>
  <c r="D258" i="1"/>
  <c r="D259" i="1" l="1"/>
  <c r="C260" i="1"/>
  <c r="C261" i="1" l="1"/>
  <c r="D260" i="1"/>
  <c r="D261" i="1" l="1"/>
  <c r="C262" i="1"/>
  <c r="C263" i="1" l="1"/>
  <c r="D262" i="1"/>
  <c r="D263" i="1" l="1"/>
  <c r="C264" i="1"/>
  <c r="C265" i="1" l="1"/>
  <c r="D264" i="1"/>
  <c r="D265" i="1" l="1"/>
  <c r="C266" i="1"/>
  <c r="C267" i="1" l="1"/>
  <c r="D266" i="1"/>
  <c r="D267" i="1" l="1"/>
  <c r="C268" i="1"/>
  <c r="C269" i="1" l="1"/>
  <c r="D268" i="1"/>
  <c r="D269" i="1" l="1"/>
  <c r="C270" i="1"/>
  <c r="C271" i="1" l="1"/>
  <c r="D270" i="1"/>
  <c r="D271" i="1" l="1"/>
  <c r="C272" i="1"/>
  <c r="C273" i="1" l="1"/>
  <c r="D272" i="1"/>
  <c r="D273" i="1" l="1"/>
  <c r="C274" i="1"/>
  <c r="C275" i="1" l="1"/>
  <c r="D274" i="1"/>
  <c r="D275" i="1" l="1"/>
  <c r="C276" i="1"/>
  <c r="C277" i="1" l="1"/>
  <c r="D276" i="1"/>
  <c r="D277" i="1" l="1"/>
  <c r="C278" i="1"/>
  <c r="C279" i="1" l="1"/>
  <c r="D278" i="1"/>
  <c r="D279" i="1" l="1"/>
  <c r="C280" i="1"/>
  <c r="C281" i="1" l="1"/>
  <c r="D280" i="1"/>
  <c r="D281" i="1" l="1"/>
  <c r="C282" i="1"/>
  <c r="C283" i="1" l="1"/>
  <c r="D282" i="1"/>
  <c r="D283" i="1" l="1"/>
  <c r="C284" i="1"/>
  <c r="C285" i="1" l="1"/>
  <c r="D284" i="1"/>
  <c r="D285" i="1" l="1"/>
  <c r="C286" i="1"/>
  <c r="C287" i="1" l="1"/>
  <c r="D286" i="1"/>
  <c r="D287" i="1" l="1"/>
  <c r="C288" i="1"/>
  <c r="C289" i="1" l="1"/>
  <c r="D288" i="1"/>
  <c r="D289" i="1" l="1"/>
  <c r="C290" i="1"/>
  <c r="C291" i="1" l="1"/>
  <c r="D290" i="1"/>
  <c r="D291" i="1" l="1"/>
  <c r="C292" i="1"/>
  <c r="C293" i="1" l="1"/>
  <c r="D292" i="1"/>
  <c r="D293" i="1" l="1"/>
  <c r="C294" i="1"/>
  <c r="C295" i="1" l="1"/>
  <c r="D294" i="1"/>
  <c r="D295" i="1" l="1"/>
  <c r="C296" i="1"/>
  <c r="C297" i="1" l="1"/>
  <c r="D296" i="1"/>
  <c r="D297" i="1" l="1"/>
  <c r="C298" i="1"/>
  <c r="C299" i="1" l="1"/>
  <c r="D298" i="1"/>
  <c r="D299" i="1" l="1"/>
  <c r="C300" i="1"/>
  <c r="C301" i="1" l="1"/>
  <c r="D300" i="1"/>
  <c r="D301" i="1" l="1"/>
  <c r="C302" i="1"/>
  <c r="C303" i="1" l="1"/>
  <c r="D302" i="1"/>
  <c r="D303" i="1" l="1"/>
  <c r="C304" i="1"/>
  <c r="C305" i="1" l="1"/>
  <c r="D304" i="1"/>
  <c r="D305" i="1" l="1"/>
  <c r="C306" i="1"/>
  <c r="C307" i="1" l="1"/>
  <c r="D306" i="1"/>
  <c r="D307" i="1" l="1"/>
  <c r="C308" i="1"/>
  <c r="C309" i="1" l="1"/>
  <c r="D308" i="1"/>
  <c r="D309" i="1" l="1"/>
  <c r="C310" i="1"/>
  <c r="C311" i="1" l="1"/>
  <c r="D310" i="1"/>
  <c r="D311" i="1" l="1"/>
  <c r="C312" i="1"/>
  <c r="C313" i="1" l="1"/>
  <c r="D312" i="1"/>
  <c r="D313" i="1" l="1"/>
  <c r="C314" i="1"/>
  <c r="C315" i="1" l="1"/>
  <c r="D314" i="1"/>
  <c r="D315" i="1" l="1"/>
  <c r="C316" i="1"/>
  <c r="C317" i="1" l="1"/>
  <c r="D316" i="1"/>
  <c r="D317" i="1" l="1"/>
  <c r="C318" i="1"/>
  <c r="C319" i="1" l="1"/>
  <c r="D318" i="1"/>
  <c r="D319" i="1" l="1"/>
  <c r="C320" i="1"/>
  <c r="C321" i="1" l="1"/>
  <c r="D320" i="1"/>
  <c r="D321" i="1" l="1"/>
  <c r="C322" i="1"/>
  <c r="C323" i="1" l="1"/>
  <c r="D322" i="1"/>
  <c r="D323" i="1" l="1"/>
  <c r="C324" i="1"/>
  <c r="C325" i="1" l="1"/>
  <c r="D324" i="1"/>
  <c r="D325" i="1" l="1"/>
  <c r="C326" i="1"/>
  <c r="C327" i="1" l="1"/>
  <c r="D326" i="1"/>
  <c r="D327" i="1" l="1"/>
  <c r="C328" i="1"/>
  <c r="C329" i="1" l="1"/>
  <c r="D328" i="1"/>
  <c r="D329" i="1" l="1"/>
  <c r="C330" i="1"/>
  <c r="C331" i="1" l="1"/>
  <c r="D330" i="1"/>
  <c r="D331" i="1" l="1"/>
  <c r="C332" i="1"/>
  <c r="C333" i="1" l="1"/>
  <c r="D332" i="1"/>
  <c r="D333" i="1" l="1"/>
  <c r="C334" i="1"/>
  <c r="C335" i="1" l="1"/>
  <c r="D334" i="1"/>
  <c r="D335" i="1" l="1"/>
  <c r="C336" i="1"/>
  <c r="C337" i="1" l="1"/>
  <c r="D336" i="1"/>
  <c r="D337" i="1" l="1"/>
  <c r="C338" i="1"/>
  <c r="C339" i="1" l="1"/>
  <c r="D338" i="1"/>
  <c r="D339" i="1" l="1"/>
  <c r="C340" i="1"/>
  <c r="C341" i="1" l="1"/>
  <c r="D340" i="1"/>
  <c r="D341" i="1" l="1"/>
  <c r="C342" i="1"/>
  <c r="C343" i="1" l="1"/>
  <c r="D342" i="1"/>
  <c r="D343" i="1" l="1"/>
  <c r="C344" i="1"/>
  <c r="C345" i="1" l="1"/>
  <c r="D344" i="1"/>
  <c r="D345" i="1" l="1"/>
  <c r="C346" i="1"/>
  <c r="C347" i="1" l="1"/>
  <c r="D346" i="1"/>
  <c r="D347" i="1" l="1"/>
  <c r="C348" i="1"/>
  <c r="C349" i="1" l="1"/>
  <c r="D348" i="1"/>
  <c r="D349" i="1" l="1"/>
  <c r="C350" i="1"/>
  <c r="C351" i="1" l="1"/>
  <c r="D350" i="1"/>
  <c r="D351" i="1" l="1"/>
  <c r="C352" i="1"/>
  <c r="C353" i="1" l="1"/>
  <c r="D352" i="1"/>
  <c r="D353" i="1" l="1"/>
  <c r="C354" i="1"/>
  <c r="C355" i="1" l="1"/>
  <c r="D354" i="1"/>
  <c r="D355" i="1" l="1"/>
  <c r="C356" i="1"/>
  <c r="C357" i="1" l="1"/>
  <c r="D356" i="1"/>
  <c r="D357" i="1" l="1"/>
  <c r="C358" i="1"/>
  <c r="C359" i="1" l="1"/>
  <c r="D358" i="1"/>
  <c r="D359" i="1" l="1"/>
  <c r="C360" i="1"/>
  <c r="C361" i="1" l="1"/>
  <c r="D360" i="1"/>
  <c r="D361" i="1" l="1"/>
  <c r="C362" i="1"/>
  <c r="C363" i="1" l="1"/>
  <c r="D362" i="1"/>
  <c r="D363" i="1" l="1"/>
  <c r="C364" i="1"/>
  <c r="C365" i="1" l="1"/>
  <c r="D364" i="1"/>
  <c r="D365" i="1" l="1"/>
  <c r="C366" i="1"/>
  <c r="C367" i="1" l="1"/>
  <c r="D366" i="1"/>
  <c r="D367" i="1" l="1"/>
  <c r="C368" i="1"/>
  <c r="C369" i="1" l="1"/>
  <c r="D368" i="1"/>
  <c r="D369" i="1" l="1"/>
  <c r="C370" i="1"/>
  <c r="C371" i="1" l="1"/>
  <c r="D370" i="1"/>
  <c r="D371" i="1" l="1"/>
  <c r="C372" i="1"/>
  <c r="D372" i="1" l="1"/>
  <c r="C373" i="1"/>
  <c r="C374" i="1" l="1"/>
  <c r="D373" i="1"/>
  <c r="D374" i="1" l="1"/>
  <c r="C375" i="1"/>
  <c r="D375" i="1" l="1"/>
  <c r="C376" i="1"/>
  <c r="C377" i="1" l="1"/>
  <c r="D376" i="1"/>
  <c r="D377" i="1" l="1"/>
  <c r="C378" i="1"/>
  <c r="D378" i="1" l="1"/>
  <c r="C379" i="1"/>
  <c r="C380" i="1" l="1"/>
  <c r="D379" i="1"/>
  <c r="D380" i="1" l="1"/>
  <c r="C381" i="1"/>
  <c r="D381" i="1" l="1"/>
  <c r="C382" i="1"/>
  <c r="D382" i="1" l="1"/>
  <c r="C383" i="1"/>
  <c r="C384" i="1" l="1"/>
  <c r="D383" i="1"/>
  <c r="D384" i="1" l="1"/>
  <c r="C385" i="1"/>
  <c r="D385" i="1" l="1"/>
  <c r="C386" i="1"/>
  <c r="D386" i="1" l="1"/>
  <c r="C387" i="1"/>
  <c r="C388" i="1" l="1"/>
  <c r="D387" i="1"/>
  <c r="D388" i="1" l="1"/>
  <c r="C389" i="1"/>
  <c r="D389" i="1" l="1"/>
  <c r="C390" i="1"/>
  <c r="D390" i="1" l="1"/>
  <c r="C391" i="1"/>
  <c r="D391" i="1" l="1"/>
  <c r="C392" i="1"/>
  <c r="C393" i="1" l="1"/>
  <c r="D392" i="1"/>
  <c r="C394" i="1" l="1"/>
  <c r="D393" i="1"/>
  <c r="D394" i="1" l="1"/>
  <c r="C395" i="1"/>
  <c r="D395" i="1" l="1"/>
  <c r="C396" i="1"/>
  <c r="D396" i="1" l="1"/>
  <c r="C397" i="1"/>
  <c r="D397" i="1" l="1"/>
  <c r="C398" i="1"/>
  <c r="D398" i="1" l="1"/>
  <c r="C399" i="1"/>
  <c r="C400" i="1" l="1"/>
  <c r="D399" i="1"/>
  <c r="C401" i="1" l="1"/>
  <c r="D400" i="1"/>
  <c r="C402" i="1" l="1"/>
  <c r="D401" i="1"/>
  <c r="C403" i="1" l="1"/>
  <c r="D402" i="1"/>
  <c r="D403" i="1" l="1"/>
  <c r="C404" i="1"/>
  <c r="D404" i="1" l="1"/>
  <c r="C405" i="1"/>
  <c r="D405" i="1" l="1"/>
  <c r="C406" i="1"/>
  <c r="D406" i="1" l="1"/>
  <c r="C407" i="1"/>
  <c r="C408" i="1" l="1"/>
  <c r="D407" i="1"/>
  <c r="D408" i="1" l="1"/>
  <c r="C409" i="1"/>
  <c r="C410" i="1" l="1"/>
  <c r="D409" i="1"/>
  <c r="C411" i="1" l="1"/>
  <c r="D410" i="1"/>
  <c r="C412" i="1" l="1"/>
  <c r="D411" i="1"/>
  <c r="C413" i="1" l="1"/>
  <c r="D412" i="1"/>
  <c r="D413" i="1" l="1"/>
  <c r="C414" i="1"/>
  <c r="D414" i="1" l="1"/>
  <c r="C415" i="1"/>
  <c r="C416" i="1" l="1"/>
  <c r="D415" i="1"/>
  <c r="D416" i="1" l="1"/>
  <c r="C417" i="1"/>
  <c r="C418" i="1" l="1"/>
  <c r="D417" i="1"/>
  <c r="D418" i="1" l="1"/>
  <c r="C419" i="1"/>
  <c r="C420" i="1" l="1"/>
  <c r="D419" i="1"/>
  <c r="C421" i="1" l="1"/>
  <c r="D420" i="1"/>
  <c r="C422" i="1" l="1"/>
  <c r="D421" i="1"/>
  <c r="C423" i="1" l="1"/>
  <c r="D422" i="1"/>
  <c r="C424" i="1" l="1"/>
  <c r="D423" i="1"/>
  <c r="C425" i="1" l="1"/>
  <c r="D424" i="1"/>
  <c r="C426" i="1" l="1"/>
  <c r="D425" i="1"/>
  <c r="C427" i="1" l="1"/>
  <c r="D426" i="1"/>
  <c r="D427" i="1" l="1"/>
  <c r="C428" i="1"/>
  <c r="D428" i="1" l="1"/>
  <c r="C429" i="1"/>
  <c r="D429" i="1" l="1"/>
  <c r="C430" i="1"/>
  <c r="C431" i="1" l="1"/>
  <c r="D430" i="1"/>
  <c r="C432" i="1" l="1"/>
  <c r="D431" i="1"/>
  <c r="D432" i="1" l="1"/>
  <c r="C433" i="1"/>
  <c r="D433" i="1" l="1"/>
  <c r="C434" i="1"/>
  <c r="D434" i="1" l="1"/>
  <c r="C435" i="1"/>
  <c r="D435" i="1" l="1"/>
  <c r="C436" i="1"/>
  <c r="D436" i="1" l="1"/>
  <c r="C437" i="1"/>
  <c r="D437" i="1" l="1"/>
  <c r="C438" i="1"/>
  <c r="C439" i="1" l="1"/>
  <c r="D438" i="1"/>
  <c r="C440" i="1" l="1"/>
  <c r="D439" i="1"/>
  <c r="D440" i="1" l="1"/>
  <c r="C441" i="1"/>
  <c r="C442" i="1" l="1"/>
  <c r="D441" i="1"/>
  <c r="D442" i="1" l="1"/>
  <c r="C443" i="1"/>
  <c r="C444" i="1" l="1"/>
  <c r="D443" i="1"/>
  <c r="C445" i="1" l="1"/>
  <c r="D444" i="1"/>
  <c r="D445" i="1" l="1"/>
  <c r="C446" i="1"/>
  <c r="C447" i="1" l="1"/>
  <c r="D446" i="1"/>
  <c r="D447" i="1" l="1"/>
  <c r="C448" i="1"/>
  <c r="C449" i="1" l="1"/>
  <c r="D448" i="1"/>
  <c r="D449" i="1" l="1"/>
  <c r="C450" i="1"/>
  <c r="C451" i="1" l="1"/>
  <c r="D450" i="1"/>
  <c r="D451" i="1" l="1"/>
  <c r="C452" i="1"/>
  <c r="C453" i="1" l="1"/>
  <c r="D452" i="1"/>
  <c r="D453" i="1" l="1"/>
  <c r="C454" i="1"/>
  <c r="C455" i="1" l="1"/>
  <c r="D454" i="1"/>
  <c r="D455" i="1" l="1"/>
  <c r="C456" i="1"/>
  <c r="C457" i="1" l="1"/>
  <c r="D456" i="1"/>
  <c r="D457" i="1" l="1"/>
  <c r="C458" i="1"/>
  <c r="C459" i="1" l="1"/>
  <c r="D458" i="1"/>
  <c r="D459" i="1" l="1"/>
  <c r="C460" i="1"/>
  <c r="C461" i="1" l="1"/>
  <c r="D460" i="1"/>
  <c r="D461" i="1" l="1"/>
  <c r="C462" i="1"/>
  <c r="C463" i="1" l="1"/>
  <c r="D462" i="1"/>
  <c r="D463" i="1" l="1"/>
  <c r="C464" i="1"/>
  <c r="C465" i="1" l="1"/>
  <c r="D464" i="1"/>
  <c r="D465" i="1" l="1"/>
  <c r="C466" i="1"/>
  <c r="C467" i="1" l="1"/>
  <c r="D466" i="1"/>
  <c r="D467" i="1" l="1"/>
  <c r="C468" i="1"/>
  <c r="C469" i="1" l="1"/>
  <c r="D468" i="1"/>
  <c r="D469" i="1" l="1"/>
  <c r="C470" i="1"/>
  <c r="C471" i="1" l="1"/>
  <c r="D470" i="1"/>
  <c r="D471" i="1" l="1"/>
  <c r="C472" i="1"/>
  <c r="C473" i="1" l="1"/>
  <c r="D472" i="1"/>
  <c r="D473" i="1" l="1"/>
  <c r="C474" i="1"/>
  <c r="C475" i="1" l="1"/>
  <c r="D474" i="1"/>
  <c r="D475" i="1" l="1"/>
  <c r="C476" i="1"/>
  <c r="C477" i="1" l="1"/>
  <c r="D476" i="1"/>
  <c r="D477" i="1" l="1"/>
  <c r="C478" i="1"/>
  <c r="C479" i="1" l="1"/>
  <c r="D478" i="1"/>
  <c r="C480" i="1" l="1"/>
  <c r="D479" i="1"/>
  <c r="D480" i="1" l="1"/>
  <c r="C481" i="1"/>
  <c r="C482" i="1" l="1"/>
  <c r="D481" i="1"/>
  <c r="C483" i="1" l="1"/>
  <c r="D482" i="1"/>
  <c r="C484" i="1" l="1"/>
  <c r="D483" i="1"/>
  <c r="C485" i="1" l="1"/>
  <c r="D484" i="1"/>
  <c r="D485" i="1" l="1"/>
  <c r="C486" i="1"/>
  <c r="C487" i="1" l="1"/>
  <c r="D486" i="1"/>
  <c r="D487" i="1" l="1"/>
  <c r="C488" i="1"/>
  <c r="C489" i="1" l="1"/>
  <c r="D488" i="1"/>
  <c r="D489" i="1" l="1"/>
  <c r="C490" i="1"/>
  <c r="C491" i="1" l="1"/>
  <c r="D490" i="1"/>
  <c r="D491" i="1" l="1"/>
  <c r="C492" i="1"/>
  <c r="C493" i="1" l="1"/>
  <c r="D492" i="1"/>
  <c r="D493" i="1" l="1"/>
  <c r="C494" i="1"/>
  <c r="C495" i="1" l="1"/>
  <c r="D494" i="1"/>
  <c r="D495" i="1" l="1"/>
  <c r="C496" i="1"/>
  <c r="C497" i="1" l="1"/>
  <c r="D496" i="1"/>
  <c r="D497" i="1" l="1"/>
  <c r="C498" i="1"/>
  <c r="C499" i="1" l="1"/>
  <c r="D498" i="1"/>
  <c r="D499" i="1" l="1"/>
  <c r="C500" i="1"/>
  <c r="C501" i="1" l="1"/>
  <c r="D500" i="1"/>
  <c r="D501" i="1" l="1"/>
  <c r="C502" i="1"/>
  <c r="C503" i="1" l="1"/>
  <c r="D502" i="1"/>
  <c r="D503" i="1" l="1"/>
  <c r="C504" i="1"/>
  <c r="C505" i="1" l="1"/>
  <c r="D504" i="1"/>
  <c r="D505" i="1" l="1"/>
  <c r="C506" i="1"/>
  <c r="C507" i="1" l="1"/>
  <c r="D506" i="1"/>
  <c r="D507" i="1" l="1"/>
  <c r="C508" i="1"/>
  <c r="C509" i="1" l="1"/>
  <c r="D508" i="1"/>
  <c r="D509" i="1" l="1"/>
  <c r="C510" i="1"/>
  <c r="C511" i="1" l="1"/>
  <c r="D510" i="1"/>
  <c r="D511" i="1" l="1"/>
  <c r="C512" i="1"/>
  <c r="C513" i="1" l="1"/>
  <c r="D512" i="1"/>
  <c r="D513" i="1" l="1"/>
  <c r="C514" i="1"/>
  <c r="C515" i="1" l="1"/>
  <c r="D514" i="1"/>
  <c r="D515" i="1" l="1"/>
  <c r="C516" i="1"/>
  <c r="C517" i="1" l="1"/>
  <c r="D516" i="1"/>
  <c r="D517" i="1" l="1"/>
  <c r="C518" i="1"/>
  <c r="C519" i="1" l="1"/>
  <c r="D518" i="1"/>
  <c r="D519" i="1" l="1"/>
  <c r="C520" i="1"/>
  <c r="C521" i="1" l="1"/>
  <c r="D520" i="1"/>
  <c r="D521" i="1" l="1"/>
  <c r="C522" i="1"/>
  <c r="C523" i="1" l="1"/>
  <c r="D522" i="1"/>
  <c r="D523" i="1" l="1"/>
  <c r="C524" i="1"/>
  <c r="C525" i="1" l="1"/>
  <c r="D524" i="1"/>
  <c r="D525" i="1" l="1"/>
  <c r="C526" i="1"/>
  <c r="C527" i="1" l="1"/>
  <c r="D526" i="1"/>
  <c r="D527" i="1" l="1"/>
  <c r="C528" i="1"/>
  <c r="C529" i="1" l="1"/>
  <c r="D528" i="1"/>
  <c r="D529" i="1" l="1"/>
  <c r="C530" i="1"/>
  <c r="C531" i="1" l="1"/>
  <c r="D530" i="1"/>
  <c r="D531" i="1" l="1"/>
  <c r="C532" i="1"/>
  <c r="C533" i="1" l="1"/>
  <c r="D532" i="1"/>
  <c r="D533" i="1" l="1"/>
  <c r="C534" i="1"/>
  <c r="C535" i="1" l="1"/>
  <c r="D534" i="1"/>
  <c r="D535" i="1" l="1"/>
  <c r="C536" i="1"/>
  <c r="C537" i="1" l="1"/>
  <c r="D536" i="1"/>
  <c r="D537" i="1" l="1"/>
  <c r="C538" i="1"/>
  <c r="C539" i="1" l="1"/>
  <c r="D538" i="1"/>
  <c r="D539" i="1" l="1"/>
  <c r="C540" i="1"/>
  <c r="C541" i="1" l="1"/>
  <c r="D540" i="1"/>
  <c r="D541" i="1" l="1"/>
  <c r="C542" i="1"/>
  <c r="C543" i="1" l="1"/>
  <c r="D542" i="1"/>
  <c r="D543" i="1" l="1"/>
  <c r="C544" i="1"/>
  <c r="C545" i="1" l="1"/>
  <c r="D544" i="1"/>
  <c r="D545" i="1" l="1"/>
  <c r="C546" i="1"/>
  <c r="D546" i="1" l="1"/>
  <c r="C547" i="1"/>
  <c r="D547" i="1" l="1"/>
  <c r="C548" i="1"/>
  <c r="D548" i="1" l="1"/>
  <c r="C549" i="1"/>
  <c r="C550" i="1" l="1"/>
  <c r="D549" i="1"/>
  <c r="C551" i="1" l="1"/>
  <c r="D550" i="1"/>
  <c r="C552" i="1" l="1"/>
  <c r="D551" i="1"/>
  <c r="C553" i="1" l="1"/>
  <c r="D552" i="1"/>
  <c r="D553" i="1" l="1"/>
  <c r="C554" i="1"/>
  <c r="C555" i="1" l="1"/>
  <c r="D554" i="1"/>
  <c r="D555" i="1" l="1"/>
  <c r="C556" i="1"/>
  <c r="C557" i="1" l="1"/>
  <c r="D556" i="1"/>
  <c r="D557" i="1" l="1"/>
  <c r="C558" i="1"/>
  <c r="C559" i="1" l="1"/>
  <c r="D558" i="1"/>
  <c r="C560" i="1" l="1"/>
  <c r="D559" i="1"/>
  <c r="D560" i="1" l="1"/>
  <c r="C561" i="1"/>
  <c r="D561" i="1" l="1"/>
  <c r="C562" i="1"/>
  <c r="C563" i="1" l="1"/>
  <c r="D562" i="1"/>
  <c r="D563" i="1" l="1"/>
  <c r="C564" i="1"/>
  <c r="C565" i="1" l="1"/>
  <c r="D564" i="1"/>
  <c r="D565" i="1" l="1"/>
  <c r="C566" i="1"/>
  <c r="C567" i="1" l="1"/>
  <c r="D566" i="1"/>
  <c r="C568" i="1" l="1"/>
  <c r="D567" i="1"/>
  <c r="D568" i="1" l="1"/>
  <c r="C569" i="1"/>
  <c r="C570" i="1" l="1"/>
  <c r="D569" i="1"/>
  <c r="C571" i="1" l="1"/>
  <c r="D570" i="1"/>
  <c r="D571" i="1" l="1"/>
  <c r="C572" i="1"/>
  <c r="C573" i="1" l="1"/>
  <c r="D572" i="1"/>
  <c r="C574" i="1" l="1"/>
  <c r="D573" i="1"/>
  <c r="D574" i="1" l="1"/>
  <c r="C575" i="1"/>
  <c r="C576" i="1" l="1"/>
  <c r="D575" i="1"/>
  <c r="D576" i="1" l="1"/>
  <c r="C577" i="1"/>
  <c r="C578" i="1" l="1"/>
  <c r="D577" i="1"/>
  <c r="D578" i="1" l="1"/>
  <c r="C579" i="1"/>
  <c r="C580" i="1" l="1"/>
  <c r="D579" i="1"/>
  <c r="D580" i="1" l="1"/>
  <c r="C581" i="1"/>
  <c r="C582" i="1" l="1"/>
  <c r="D581" i="1"/>
  <c r="C583" i="1" l="1"/>
  <c r="D582" i="1"/>
  <c r="C584" i="1" l="1"/>
  <c r="D583" i="1"/>
  <c r="D584" i="1" l="1"/>
  <c r="C585" i="1"/>
  <c r="C586" i="1" l="1"/>
  <c r="D585" i="1"/>
  <c r="D586" i="1" l="1"/>
  <c r="C587" i="1"/>
  <c r="D587" i="1" l="1"/>
  <c r="C588" i="1"/>
  <c r="C589" i="1" l="1"/>
  <c r="D588" i="1"/>
  <c r="D589" i="1" l="1"/>
  <c r="C590" i="1"/>
  <c r="D590" i="1" l="1"/>
  <c r="C591" i="1"/>
  <c r="D591" i="1" l="1"/>
  <c r="C592" i="1"/>
  <c r="D592" i="1" l="1"/>
  <c r="C593" i="1"/>
  <c r="C594" i="1" l="1"/>
  <c r="D593" i="1"/>
  <c r="C595" i="1" l="1"/>
  <c r="D594" i="1"/>
  <c r="C596" i="1" l="1"/>
  <c r="D595" i="1"/>
  <c r="C597" i="1" l="1"/>
  <c r="D596" i="1"/>
  <c r="C598" i="1" l="1"/>
  <c r="D597" i="1"/>
  <c r="C599" i="1" l="1"/>
  <c r="D598" i="1"/>
  <c r="C600" i="1" l="1"/>
  <c r="D599" i="1"/>
  <c r="D600" i="1" l="1"/>
  <c r="C601" i="1"/>
  <c r="C602" i="1" l="1"/>
  <c r="D601" i="1"/>
  <c r="C603" i="1" l="1"/>
  <c r="D602" i="1"/>
  <c r="C604" i="1" l="1"/>
  <c r="D603" i="1"/>
  <c r="D604" i="1" l="1"/>
  <c r="C605" i="1"/>
  <c r="C606" i="1" l="1"/>
  <c r="D605" i="1"/>
  <c r="D606" i="1" l="1"/>
  <c r="C607" i="1"/>
  <c r="C608" i="1" l="1"/>
  <c r="D607" i="1"/>
  <c r="D608" i="1" l="1"/>
  <c r="C609" i="1"/>
  <c r="C610" i="1" l="1"/>
  <c r="D609" i="1"/>
  <c r="D610" i="1" l="1"/>
  <c r="C611" i="1"/>
  <c r="D611" i="1" s="1"/>
  <c r="M12" i="1" l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O27" i="1" s="1"/>
  <c r="M28" i="1"/>
  <c r="O28" i="1" s="1"/>
  <c r="M29" i="1"/>
  <c r="O29" i="1" s="1"/>
  <c r="M30" i="1"/>
  <c r="O30" i="1" s="1"/>
  <c r="M31" i="1"/>
  <c r="O31" i="1" s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M39" i="1"/>
  <c r="O39" i="1" s="1"/>
  <c r="M40" i="1"/>
  <c r="O40" i="1" s="1"/>
  <c r="M41" i="1"/>
  <c r="O41" i="1" s="1"/>
  <c r="M42" i="1"/>
  <c r="O42" i="1" s="1"/>
  <c r="M43" i="1"/>
  <c r="O43" i="1" s="1"/>
  <c r="M44" i="1"/>
  <c r="O44" i="1" s="1"/>
  <c r="M45" i="1"/>
  <c r="O45" i="1" s="1"/>
  <c r="M46" i="1"/>
  <c r="O46" i="1" s="1"/>
  <c r="M47" i="1"/>
  <c r="O47" i="1" s="1"/>
  <c r="M48" i="1"/>
  <c r="O48" i="1" s="1"/>
  <c r="M49" i="1"/>
  <c r="O49" i="1" s="1"/>
  <c r="M50" i="1"/>
  <c r="O50" i="1" s="1"/>
  <c r="M51" i="1"/>
  <c r="O51" i="1" s="1"/>
  <c r="M52" i="1"/>
  <c r="O52" i="1" s="1"/>
  <c r="M53" i="1"/>
  <c r="O53" i="1" s="1"/>
  <c r="M54" i="1"/>
  <c r="O54" i="1" s="1"/>
  <c r="M55" i="1"/>
  <c r="O55" i="1" s="1"/>
  <c r="M56" i="1"/>
  <c r="O56" i="1" s="1"/>
  <c r="M57" i="1"/>
  <c r="O57" i="1" s="1"/>
  <c r="M58" i="1"/>
  <c r="O58" i="1" s="1"/>
  <c r="M59" i="1"/>
  <c r="O59" i="1" s="1"/>
  <c r="M60" i="1"/>
  <c r="O60" i="1" s="1"/>
  <c r="M61" i="1"/>
  <c r="O61" i="1" s="1"/>
  <c r="E2" i="1" l="1"/>
  <c r="M62" i="1"/>
  <c r="O62" i="1" s="1"/>
  <c r="K2" i="1"/>
  <c r="O12" i="1"/>
  <c r="F2" i="1" l="1"/>
  <c r="E4" i="1"/>
  <c r="E2" i="3"/>
  <c r="E11" i="3"/>
  <c r="N2" i="1"/>
  <c r="K4" i="1"/>
  <c r="N4" i="1" s="1"/>
  <c r="E5" i="1" l="1"/>
  <c r="F4" i="1"/>
  <c r="H2" i="3"/>
  <c r="E4" i="3"/>
  <c r="H4" i="3" s="1"/>
  <c r="K5" i="1"/>
  <c r="E8" i="1" l="1"/>
  <c r="F8" i="1" s="1"/>
  <c r="F5" i="1"/>
  <c r="E5" i="3"/>
  <c r="K8" i="1"/>
  <c r="N8" i="1" s="1"/>
  <c r="N5" i="1"/>
  <c r="H5" i="3" l="1"/>
  <c r="E8" i="3"/>
  <c r="H8" i="3" s="1"/>
</calcChain>
</file>

<file path=xl/sharedStrings.xml><?xml version="1.0" encoding="utf-8"?>
<sst xmlns="http://schemas.openxmlformats.org/spreadsheetml/2006/main" count="99" uniqueCount="31">
  <si>
    <t>Ränta</t>
  </si>
  <si>
    <t>Lån</t>
  </si>
  <si>
    <t>Perioder per år</t>
  </si>
  <si>
    <t>Antal år</t>
  </si>
  <si>
    <t>Amortering per år</t>
  </si>
  <si>
    <t>Amortering per månad</t>
  </si>
  <si>
    <t>Kostnader första året</t>
  </si>
  <si>
    <t>Månad</t>
  </si>
  <si>
    <t>År</t>
  </si>
  <si>
    <t>Kvarvarande skuld</t>
  </si>
  <si>
    <t>Räntebetalning</t>
  </si>
  <si>
    <t>Amortering</t>
  </si>
  <si>
    <t>Total kostnad</t>
  </si>
  <si>
    <t>Räntekostnad per år</t>
  </si>
  <si>
    <t>procent amorterat</t>
  </si>
  <si>
    <t>Total kostnad per år</t>
  </si>
  <si>
    <t>Räntekostnad</t>
  </si>
  <si>
    <t>Driftskostnader</t>
  </si>
  <si>
    <t>Månadsavgift</t>
  </si>
  <si>
    <t>Total bolånekostnad</t>
  </si>
  <si>
    <t>Kostnader första året (per månad)</t>
  </si>
  <si>
    <t>Skatteavdrag</t>
  </si>
  <si>
    <t>RÄNTA = 1 %</t>
  </si>
  <si>
    <t>RÄNTA = 2%</t>
  </si>
  <si>
    <t>RÄNTA = 6%</t>
  </si>
  <si>
    <t>RÄNTA = 3%</t>
  </si>
  <si>
    <t>RÄNTA = 4%</t>
  </si>
  <si>
    <t>RÄNTA = 5%</t>
  </si>
  <si>
    <t>Kostnader första 5 åren</t>
  </si>
  <si>
    <t>Totalt</t>
  </si>
  <si>
    <t>Per månad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</si>
</sst>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kr&quot;;[Red]\-#,##0.00\ &quot;kr&quot;"/>
    <numFmt numFmtId="44" formatCode="_-* #,##0.00\ &quot;kr&quot;_-;\-* #,##0.00\ &quot;kr&quot;_-;_-* &quot;-&quot;??\ &quot;kr&quot;_-;_-@_-"/>
    <numFmt numFmtId="164" formatCode="_-* #,##0.00\ _k_r_-;\-* #,##0.00\ _k_r_-;_-* &quot;-&quot;??\ _k_r_-;_-@_-"/>
    <numFmt numFmtId="165" formatCode="_ * #,##0_ ;_ * \-#,##0_ ;_ * &quot;-&quot;??_ ;_ @_ "/>
    <numFmt numFmtId="166" formatCode="_ * #,##0.00_ ;_ * \-#,##0.00_ ;_ * &quot;-&quot;??_ ;_ @_ "/>
    <numFmt numFmtId="167" formatCode="&quot;kr.&quot;\ #,##0.00;[Red]&quot;kr.&quot;\ \-#,##0.00"/>
    <numFmt numFmtId="168" formatCode="#,##0.00\ &quot;kr.&quot;;[Red]\-#,##0.00\ &quot;kr.&quot;"/>
    <numFmt numFmtId="169" formatCode="_-* #,##0\ &quot;kr&quot;_-;\-* #,##0\ &quot;kr&quot;_-;_-* &quot;-&quot;??\ &quot;kr&quot;_-;_-@_-"/>
    <numFmt numFmtId="170" formatCode="_-* #,##0.0\ _k_r_-;\-* #,##0.0\ _k_r_-;_-* &quot;-&quot;?\ _k_r_-;_-@_-"/>
    <numFmt numFmtId="171" formatCode="&quot;kr.&quot;\ #,##0;[Red]&quot;kr.&quot;\ \-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4">
    <xf numFmtId="0" fontId="0" fillId="0" borderId="0" xfId="0"/>
    <xf numFmtId="0" fontId="4" fillId="0" borderId="0" xfId="0" applyFont="1" applyFill="1" applyProtection="1"/>
    <xf numFmtId="0" fontId="0" fillId="0" borderId="0" xfId="0" applyFill="1" applyProtection="1"/>
    <xf numFmtId="9" fontId="0" fillId="0" borderId="0" xfId="0" applyNumberFormat="1" applyFill="1" applyProtection="1"/>
    <xf numFmtId="165" fontId="0" fillId="0" borderId="0" xfId="0" applyNumberFormat="1" applyFill="1" applyProtection="1"/>
    <xf numFmtId="165" fontId="0" fillId="0" borderId="0" xfId="1" applyNumberFormat="1" applyFont="1" applyFill="1" applyProtection="1"/>
    <xf numFmtId="167" fontId="0" fillId="0" borderId="0" xfId="0" applyNumberFormat="1" applyFill="1" applyProtection="1"/>
    <xf numFmtId="168" fontId="0" fillId="0" borderId="0" xfId="0" applyNumberFormat="1" applyFill="1" applyProtection="1"/>
    <xf numFmtId="0" fontId="4" fillId="0" borderId="0" xfId="0" applyFont="1" applyFill="1" applyAlignment="1" applyProtection="1">
      <alignment horizontal="center"/>
    </xf>
    <xf numFmtId="0" fontId="0" fillId="0" borderId="0" xfId="0" applyBorder="1" applyProtection="1"/>
    <xf numFmtId="166" fontId="0" fillId="0" borderId="0" xfId="0" applyNumberFormat="1" applyFill="1" applyProtection="1"/>
    <xf numFmtId="9" fontId="0" fillId="0" borderId="0" xfId="3" applyFont="1" applyFill="1" applyProtection="1"/>
    <xf numFmtId="44" fontId="0" fillId="0" borderId="0" xfId="2" applyFont="1" applyFill="1" applyProtection="1"/>
    <xf numFmtId="0" fontId="3" fillId="0" borderId="0" xfId="0" applyFont="1" applyFill="1" applyProtection="1"/>
    <xf numFmtId="169" fontId="0" fillId="0" borderId="0" xfId="2" applyNumberFormat="1" applyFont="1" applyFill="1" applyProtection="1"/>
    <xf numFmtId="170" fontId="0" fillId="0" borderId="0" xfId="0" applyNumberFormat="1" applyFill="1" applyProtection="1"/>
    <xf numFmtId="169" fontId="0" fillId="0" borderId="0" xfId="0" applyNumberFormat="1" applyFill="1" applyProtection="1"/>
    <xf numFmtId="171" fontId="0" fillId="0" borderId="0" xfId="0" applyNumberFormat="1" applyFill="1" applyProtection="1"/>
    <xf numFmtId="0" fontId="4" fillId="0" borderId="0" xfId="0" applyFont="1" applyFill="1" applyAlignment="1" applyProtection="1"/>
    <xf numFmtId="0" fontId="0" fillId="0" borderId="0" xfId="0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164" fontId="0" fillId="0" borderId="0" xfId="1" applyFont="1"/>
    <xf numFmtId="8" fontId="0" fillId="0" borderId="0" xfId="0" applyNumberFormat="1"/>
    <xf numFmtId="0" fontId="2" fillId="2" borderId="0" xfId="4" applyAlignment="1" applyProtection="1">
      <alignment horizontal="center"/>
    </xf>
  </cellXfs>
  <cellStyles count="5">
    <cellStyle name="Comma" xfId="1" builtinId="3"/>
    <cellStyle name="Currency" xfId="2" builtinId="4"/>
    <cellStyle name="Good" xfId="4" builtinId="26"/>
    <cellStyle name="Normal" xfId="0" builtinId="0"/>
    <cellStyle name="Per cent" xfId="3" builtinId="5"/>
  </cellStyles>
  <dxfs count="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5774168041777"/>
          <c:y val="3.8623589098537595E-2"/>
          <c:w val="0.87781831797080312"/>
          <c:h val="0.82590209396622494"/>
        </c:manualLayout>
      </c:layout>
      <c:lineChart>
        <c:grouping val="standard"/>
        <c:varyColors val="0"/>
        <c:ser>
          <c:idx val="0"/>
          <c:order val="0"/>
          <c:tx>
            <c:strRef>
              <c:f>Bolåneberäkningar!$M$11</c:f>
              <c:strCache>
                <c:ptCount val="1"/>
                <c:pt idx="0">
                  <c:v>Räntekostnad per år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Bolåneberäkningar!$M$12:$M$61</c:f>
              <c:numCache>
                <c:formatCode>_-* #\ ##0\ "kr"_-;\-* #\ ##0\ "kr"_-;_-* "-"??\ "kr"_-;_-@_-</c:formatCode>
                <c:ptCount val="50"/>
                <c:pt idx="0">
                  <c:v>29477.291666666672</c:v>
                </c:pt>
                <c:pt idx="1">
                  <c:v>28882.291666666693</c:v>
                </c:pt>
                <c:pt idx="2">
                  <c:v>28287.291666666712</c:v>
                </c:pt>
                <c:pt idx="3">
                  <c:v>27692.291666666726</c:v>
                </c:pt>
                <c:pt idx="4">
                  <c:v>27097.291666666741</c:v>
                </c:pt>
                <c:pt idx="5">
                  <c:v>26502.291666666755</c:v>
                </c:pt>
                <c:pt idx="6">
                  <c:v>25907.291666666773</c:v>
                </c:pt>
                <c:pt idx="7">
                  <c:v>25312.291666666792</c:v>
                </c:pt>
                <c:pt idx="8">
                  <c:v>24717.29166666681</c:v>
                </c:pt>
                <c:pt idx="9">
                  <c:v>24122.291666666824</c:v>
                </c:pt>
                <c:pt idx="10">
                  <c:v>23527.291666666839</c:v>
                </c:pt>
                <c:pt idx="11">
                  <c:v>22932.291666666857</c:v>
                </c:pt>
                <c:pt idx="12">
                  <c:v>22337.291666666875</c:v>
                </c:pt>
                <c:pt idx="13">
                  <c:v>21742.29166666689</c:v>
                </c:pt>
                <c:pt idx="14">
                  <c:v>21147.291666666908</c:v>
                </c:pt>
                <c:pt idx="15">
                  <c:v>20552.291666666923</c:v>
                </c:pt>
                <c:pt idx="16">
                  <c:v>19957.291666666937</c:v>
                </c:pt>
                <c:pt idx="17">
                  <c:v>19362.291666666952</c:v>
                </c:pt>
                <c:pt idx="18">
                  <c:v>18767.29166666697</c:v>
                </c:pt>
                <c:pt idx="19">
                  <c:v>18172.291666666977</c:v>
                </c:pt>
                <c:pt idx="20">
                  <c:v>17577.291666666966</c:v>
                </c:pt>
                <c:pt idx="21">
                  <c:v>16982.291666666963</c:v>
                </c:pt>
                <c:pt idx="22">
                  <c:v>16387.291666666952</c:v>
                </c:pt>
                <c:pt idx="23">
                  <c:v>15792.291666666943</c:v>
                </c:pt>
                <c:pt idx="24">
                  <c:v>15197.291666666933</c:v>
                </c:pt>
                <c:pt idx="25">
                  <c:v>14602.291666666926</c:v>
                </c:pt>
                <c:pt idx="26">
                  <c:v>14007.291666666919</c:v>
                </c:pt>
                <c:pt idx="27">
                  <c:v>13412.29166666691</c:v>
                </c:pt>
                <c:pt idx="28">
                  <c:v>12817.291666666901</c:v>
                </c:pt>
                <c:pt idx="29">
                  <c:v>12222.291666666893</c:v>
                </c:pt>
                <c:pt idx="30">
                  <c:v>11627.291666666886</c:v>
                </c:pt>
                <c:pt idx="31">
                  <c:v>11032.291666666877</c:v>
                </c:pt>
                <c:pt idx="32">
                  <c:v>10437.29166666687</c:v>
                </c:pt>
                <c:pt idx="33">
                  <c:v>9842.2916666668625</c:v>
                </c:pt>
                <c:pt idx="34">
                  <c:v>9247.2916666668552</c:v>
                </c:pt>
                <c:pt idx="35">
                  <c:v>8652.2916666668571</c:v>
                </c:pt>
                <c:pt idx="36">
                  <c:v>8057.2916666668607</c:v>
                </c:pt>
                <c:pt idx="37">
                  <c:v>7462.2916666668652</c:v>
                </c:pt>
                <c:pt idx="38">
                  <c:v>6867.2916666668698</c:v>
                </c:pt>
                <c:pt idx="39">
                  <c:v>6272.2916666668734</c:v>
                </c:pt>
                <c:pt idx="40">
                  <c:v>5677.2916666668771</c:v>
                </c:pt>
                <c:pt idx="41">
                  <c:v>5082.2916666668816</c:v>
                </c:pt>
                <c:pt idx="42">
                  <c:v>4487.2916666668834</c:v>
                </c:pt>
                <c:pt idx="43">
                  <c:v>3892.2916666668812</c:v>
                </c:pt>
                <c:pt idx="44">
                  <c:v>3297.2916666668793</c:v>
                </c:pt>
                <c:pt idx="45">
                  <c:v>2702.2916666668775</c:v>
                </c:pt>
                <c:pt idx="46">
                  <c:v>2107.2916666668766</c:v>
                </c:pt>
                <c:pt idx="47">
                  <c:v>1512.2916666668775</c:v>
                </c:pt>
                <c:pt idx="48">
                  <c:v>917.29166666687775</c:v>
                </c:pt>
                <c:pt idx="49">
                  <c:v>322.29166666687735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0-7F48-886C-7055C0EBA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78816"/>
        <c:axId val="441279208"/>
      </c:lineChart>
      <c:catAx>
        <c:axId val="44127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År för lånet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41279208"/>
        <c:crosses val="autoZero"/>
        <c:auto val="1"/>
        <c:lblAlgn val="ctr"/>
        <c:lblOffset val="100"/>
        <c:noMultiLvlLbl val="0"/>
      </c:catAx>
      <c:valAx>
        <c:axId val="441279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Räntekostnader per år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_-* #\ ##0\ &quot;kr&quot;_-;\-* #\ ##0\ &quot;kr&quot;_-;_-* &quot;-&quot;??\ &quot;kr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412788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DC-5640-B8E9-BB0164D09A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'Högre räntor'!$B$11:$B$16</c:f>
              <c:numCache>
                <c:formatCode>0%</c:formatCode>
                <c:ptCount val="6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</c:numCache>
            </c:numRef>
          </c:cat>
          <c:val>
            <c:numRef>
              <c:f>'Högre räntor'!$D$11:$D$16</c:f>
              <c:numCache>
                <c:formatCode>_-* #\ ##0\ "kr"_-;\-* #\ ##0\ "kr"_-;_-* "-"??\ "kr"_-;_-@_-</c:formatCode>
                <c:ptCount val="6"/>
                <c:pt idx="0">
                  <c:v>701.84027777777794</c:v>
                </c:pt>
                <c:pt idx="1">
                  <c:v>1403.6805555555559</c:v>
                </c:pt>
                <c:pt idx="2">
                  <c:v>2105.5208333333339</c:v>
                </c:pt>
                <c:pt idx="3">
                  <c:v>2807.3611111111118</c:v>
                </c:pt>
                <c:pt idx="4">
                  <c:v>3509.2013888888891</c:v>
                </c:pt>
                <c:pt idx="5">
                  <c:v>4211.0416666666679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DC-5640-B8E9-BB0164D09A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1313232"/>
        <c:axId val="441313624"/>
      </c:barChart>
      <c:catAx>
        <c:axId val="44131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Räntenivå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41313624"/>
        <c:crosses val="autoZero"/>
        <c:auto val="1"/>
        <c:lblAlgn val="ctr"/>
        <c:lblOffset val="100"/>
        <c:noMultiLvlLbl val="0"/>
      </c:catAx>
      <c:valAx>
        <c:axId val="441313624"/>
        <c:scaling>
          <c:orientation val="minMax"/>
        </c:scaling>
        <c:delete val="0"/>
        <c:axPos val="l"/>
        <c:numFmt formatCode="_-* #\ ##0\ &quot;kr&quot;_-;\-* #\ ##0\ &quot;kr&quot;_-;_-* &quot;-&quot;??\ &quot;kr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4131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Bolåneberäkningar!$C$11</c:f>
              <c:strCache>
                <c:ptCount val="1"/>
                <c:pt idx="0">
                  <c:v>Kvarvarande skuld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Bolåneberäkningar!$C$12:$C$48</c:f>
              <c:numCache>
                <c:formatCode>_ * #\ ##0_ ;_ * \-#\ ##0_ ;_ * "-"??_ ;_ @_ </c:formatCode>
                <c:ptCount val="37"/>
                <c:pt idx="0">
                  <c:v>850000</c:v>
                </c:pt>
                <c:pt idx="1">
                  <c:v>848583.33333333337</c:v>
                </c:pt>
                <c:pt idx="2">
                  <c:v>847166.66666666674</c:v>
                </c:pt>
                <c:pt idx="3">
                  <c:v>845750.00000000012</c:v>
                </c:pt>
                <c:pt idx="4">
                  <c:v>844333.33333333349</c:v>
                </c:pt>
                <c:pt idx="5">
                  <c:v>842916.66666666686</c:v>
                </c:pt>
                <c:pt idx="6">
                  <c:v>841500.00000000023</c:v>
                </c:pt>
                <c:pt idx="7">
                  <c:v>840083.3333333336</c:v>
                </c:pt>
                <c:pt idx="8">
                  <c:v>838666.66666666698</c:v>
                </c:pt>
                <c:pt idx="9">
                  <c:v>837250.00000000035</c:v>
                </c:pt>
                <c:pt idx="10">
                  <c:v>835833.33333333372</c:v>
                </c:pt>
                <c:pt idx="11">
                  <c:v>834416.66666666709</c:v>
                </c:pt>
                <c:pt idx="12">
                  <c:v>833000.00000000047</c:v>
                </c:pt>
                <c:pt idx="13">
                  <c:v>831583.33333333384</c:v>
                </c:pt>
                <c:pt idx="14">
                  <c:v>830166.66666666721</c:v>
                </c:pt>
                <c:pt idx="15">
                  <c:v>828750.00000000058</c:v>
                </c:pt>
                <c:pt idx="16">
                  <c:v>827333.33333333395</c:v>
                </c:pt>
                <c:pt idx="17">
                  <c:v>825916.66666666733</c:v>
                </c:pt>
                <c:pt idx="18">
                  <c:v>824500.0000000007</c:v>
                </c:pt>
                <c:pt idx="19">
                  <c:v>823083.33333333407</c:v>
                </c:pt>
                <c:pt idx="20">
                  <c:v>821666.66666666744</c:v>
                </c:pt>
                <c:pt idx="21">
                  <c:v>820250.00000000081</c:v>
                </c:pt>
                <c:pt idx="22">
                  <c:v>818833.33333333419</c:v>
                </c:pt>
                <c:pt idx="23">
                  <c:v>817416.66666666756</c:v>
                </c:pt>
                <c:pt idx="24">
                  <c:v>816000.00000000093</c:v>
                </c:pt>
                <c:pt idx="25">
                  <c:v>814583.3333333343</c:v>
                </c:pt>
                <c:pt idx="26">
                  <c:v>813166.66666666768</c:v>
                </c:pt>
                <c:pt idx="27">
                  <c:v>811750.00000000105</c:v>
                </c:pt>
                <c:pt idx="28">
                  <c:v>810333.33333333442</c:v>
                </c:pt>
                <c:pt idx="29">
                  <c:v>808916.66666666779</c:v>
                </c:pt>
                <c:pt idx="30">
                  <c:v>807500.00000000116</c:v>
                </c:pt>
                <c:pt idx="31">
                  <c:v>806083.33333333454</c:v>
                </c:pt>
                <c:pt idx="32">
                  <c:v>804666.66666666791</c:v>
                </c:pt>
                <c:pt idx="33">
                  <c:v>803250.00000000128</c:v>
                </c:pt>
                <c:pt idx="34">
                  <c:v>801833.33333333465</c:v>
                </c:pt>
                <c:pt idx="35">
                  <c:v>800416.66666666802</c:v>
                </c:pt>
                <c:pt idx="36">
                  <c:v>799000.0000000014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F-A343-8F03-5ABA634F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13711"/>
        <c:axId val="166062255"/>
      </c:barChart>
      <c:catAx>
        <c:axId val="16491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Månad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6062255"/>
        <c:crosses val="autoZero"/>
        <c:auto val="1"/>
        <c:lblAlgn val="ctr"/>
        <c:lblOffset val="100"/>
        <c:tickLblSkip val="3"/>
        <c:tickMarkSkip val="4"/>
        <c:noMultiLvlLbl val="0"/>
      </c:catAx>
      <c:valAx>
        <c:axId val="1660622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Kvarvarande skuld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_ * #\ ##0_ ;_ * \-#\ 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49137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0</xdr:row>
      <xdr:rowOff>0</xdr:rowOff>
    </xdr:from>
    <xdr:to>
      <xdr:col>24</xdr:col>
      <xdr:colOff>335972</xdr:colOff>
      <xdr:row>25</xdr:row>
      <xdr:rowOff>169719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123825</xdr:rowOff>
    </xdr:from>
    <xdr:to>
      <xdr:col>11</xdr:col>
      <xdr:colOff>409576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15</xdr:col>
      <xdr:colOff>19050</xdr:colOff>
      <xdr:row>29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55430E-5008-3548-867D-41A335F66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4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21.5" style="2" bestFit="1" customWidth="1"/>
    <col min="2" max="2" width="12.5" style="2" bestFit="1" customWidth="1"/>
    <col min="3" max="3" width="17.5" style="2" bestFit="1" customWidth="1"/>
    <col min="4" max="4" width="21.83203125" style="2" bestFit="1" customWidth="1"/>
    <col min="5" max="5" width="11.1640625" style="2" bestFit="1" customWidth="1"/>
    <col min="6" max="6" width="17" style="2" customWidth="1"/>
    <col min="7" max="7" width="19.83203125" style="2" bestFit="1" customWidth="1"/>
    <col min="8" max="8" width="10" style="2" bestFit="1" customWidth="1"/>
    <col min="9" max="9" width="8.83203125" style="2"/>
    <col min="10" max="10" width="31.5" style="2" bestFit="1" customWidth="1"/>
    <col min="11" max="11" width="10" style="2" bestFit="1" customWidth="1"/>
    <col min="12" max="12" width="16.83203125" style="2" bestFit="1" customWidth="1"/>
    <col min="13" max="13" width="19" style="2" bestFit="1" customWidth="1"/>
    <col min="14" max="14" width="17.5" style="2" bestFit="1" customWidth="1"/>
    <col min="15" max="15" width="18.6640625" style="2" bestFit="1" customWidth="1"/>
    <col min="16" max="16384" width="8.83203125" style="2"/>
  </cols>
  <sheetData>
    <row r="1" spans="1:15" x14ac:dyDescent="0.2">
      <c r="A1" s="1"/>
      <c r="D1" s="13" t="s">
        <v>28</v>
      </c>
      <c r="E1" s="13" t="s">
        <v>29</v>
      </c>
      <c r="F1" s="13" t="s">
        <v>30</v>
      </c>
      <c r="J1" s="13" t="s">
        <v>6</v>
      </c>
      <c r="M1" s="13" t="s">
        <v>20</v>
      </c>
    </row>
    <row r="2" spans="1:15" x14ac:dyDescent="0.2">
      <c r="A2" s="2" t="s">
        <v>0</v>
      </c>
      <c r="B2" s="3">
        <v>3.5000000000000003E-2</v>
      </c>
      <c r="D2" s="2" t="s">
        <v>16</v>
      </c>
      <c r="E2" s="4">
        <f>SUM(M12:M16)</f>
        <v>141436.45833333355</v>
      </c>
      <c r="F2" s="4">
        <f>E2/5/12</f>
        <v>2357.2743055555588</v>
      </c>
      <c r="J2" s="2" t="s">
        <v>16</v>
      </c>
      <c r="K2" s="4">
        <f>M12</f>
        <v>29477.291666666672</v>
      </c>
      <c r="M2" s="2" t="s">
        <v>16</v>
      </c>
      <c r="N2" s="14">
        <f>K2/12</f>
        <v>2456.4409722222226</v>
      </c>
    </row>
    <row r="3" spans="1:15" x14ac:dyDescent="0.2">
      <c r="A3" s="2" t="s">
        <v>1</v>
      </c>
      <c r="B3" s="5">
        <v>850000</v>
      </c>
      <c r="D3" s="2" t="s">
        <v>11</v>
      </c>
      <c r="E3" s="16">
        <f>SUM(L12:L16)</f>
        <v>84999.999999999985</v>
      </c>
      <c r="F3" s="4">
        <f t="shared" ref="F3:F7" si="0">E3/5/12</f>
        <v>1416.6666666666663</v>
      </c>
      <c r="J3" s="2" t="s">
        <v>11</v>
      </c>
      <c r="K3" s="16">
        <f>L12</f>
        <v>16999.999999999996</v>
      </c>
      <c r="M3" s="2" t="s">
        <v>11</v>
      </c>
      <c r="N3" s="14">
        <f>K3/12</f>
        <v>1416.6666666666663</v>
      </c>
    </row>
    <row r="4" spans="1:15" x14ac:dyDescent="0.2">
      <c r="A4" s="2" t="s">
        <v>2</v>
      </c>
      <c r="B4" s="2">
        <v>12</v>
      </c>
      <c r="D4" s="2" t="s">
        <v>21</v>
      </c>
      <c r="E4" s="4">
        <f>0.3*E2</f>
        <v>42430.937500000065</v>
      </c>
      <c r="F4" s="4">
        <f t="shared" si="0"/>
        <v>707.18229166666777</v>
      </c>
      <c r="J4" s="2" t="s">
        <v>21</v>
      </c>
      <c r="K4" s="4">
        <f>0.3*K2</f>
        <v>8843.1875000000018</v>
      </c>
      <c r="M4" s="2" t="s">
        <v>21</v>
      </c>
      <c r="N4" s="14">
        <f t="shared" ref="N4:N8" si="1">K4/12</f>
        <v>736.93229166666686</v>
      </c>
    </row>
    <row r="5" spans="1:15" x14ac:dyDescent="0.2">
      <c r="A5" s="2" t="s">
        <v>3</v>
      </c>
      <c r="B5" s="2">
        <v>30</v>
      </c>
      <c r="D5" s="2" t="s">
        <v>19</v>
      </c>
      <c r="E5" s="16">
        <f>E2+E3-E4</f>
        <v>184005.52083333349</v>
      </c>
      <c r="F5" s="4">
        <f t="shared" si="0"/>
        <v>3066.7586805555584</v>
      </c>
      <c r="J5" s="2" t="s">
        <v>19</v>
      </c>
      <c r="K5" s="16">
        <f>K2+K3-K4</f>
        <v>37634.104166666672</v>
      </c>
      <c r="M5" s="2" t="s">
        <v>19</v>
      </c>
      <c r="N5" s="14">
        <f t="shared" si="1"/>
        <v>3136.1753472222226</v>
      </c>
    </row>
    <row r="6" spans="1:15" x14ac:dyDescent="0.2">
      <c r="A6" s="2" t="s">
        <v>4</v>
      </c>
      <c r="B6" s="12">
        <f>B3*0.02</f>
        <v>17000</v>
      </c>
      <c r="D6" s="4" t="s">
        <v>17</v>
      </c>
      <c r="E6" s="2">
        <f>5*1000*12</f>
        <v>60000</v>
      </c>
      <c r="F6" s="4">
        <f t="shared" si="0"/>
        <v>1000</v>
      </c>
      <c r="J6" s="4" t="s">
        <v>17</v>
      </c>
      <c r="K6" s="2">
        <f>B4*1000</f>
        <v>12000</v>
      </c>
      <c r="M6" s="4" t="s">
        <v>17</v>
      </c>
      <c r="N6" s="14">
        <f t="shared" si="1"/>
        <v>1000</v>
      </c>
    </row>
    <row r="7" spans="1:15" x14ac:dyDescent="0.2">
      <c r="A7" s="2" t="s">
        <v>5</v>
      </c>
      <c r="B7" s="7">
        <f>B6/12</f>
        <v>1416.6666666666667</v>
      </c>
      <c r="D7" s="2" t="s">
        <v>18</v>
      </c>
      <c r="E7" s="2">
        <f>5*2000*12</f>
        <v>120000</v>
      </c>
      <c r="F7" s="4">
        <f t="shared" si="0"/>
        <v>2000</v>
      </c>
      <c r="J7" s="2" t="s">
        <v>18</v>
      </c>
      <c r="K7" s="2">
        <f>B4*2000</f>
        <v>24000</v>
      </c>
      <c r="M7" s="2" t="s">
        <v>18</v>
      </c>
      <c r="N7" s="14">
        <f t="shared" si="1"/>
        <v>2000</v>
      </c>
      <c r="O7" s="8"/>
    </row>
    <row r="8" spans="1:15" ht="17.25" customHeight="1" x14ac:dyDescent="0.2">
      <c r="B8" s="7"/>
      <c r="D8" s="2" t="s">
        <v>12</v>
      </c>
      <c r="E8" s="4">
        <f>E5+E6+E7</f>
        <v>364005.52083333349</v>
      </c>
      <c r="F8" s="4">
        <f>E8/5/12</f>
        <v>6066.7586805555584</v>
      </c>
      <c r="J8" s="2" t="s">
        <v>12</v>
      </c>
      <c r="K8" s="4">
        <f>K5+K6+K7</f>
        <v>73634.104166666672</v>
      </c>
      <c r="M8" s="2" t="s">
        <v>12</v>
      </c>
      <c r="N8" s="14">
        <f t="shared" si="1"/>
        <v>6136.1753472222226</v>
      </c>
      <c r="O8" s="8"/>
    </row>
    <row r="9" spans="1:15" ht="17.25" customHeight="1" x14ac:dyDescent="0.2">
      <c r="B9" s="7"/>
      <c r="N9" s="8"/>
      <c r="O9" s="8"/>
    </row>
    <row r="10" spans="1:15" ht="17.25" customHeight="1" x14ac:dyDescent="0.2">
      <c r="B10" s="7"/>
      <c r="H10" s="16"/>
      <c r="K10" s="8"/>
      <c r="L10" s="8"/>
      <c r="M10" s="8"/>
      <c r="N10" s="8"/>
      <c r="O10" s="8"/>
    </row>
    <row r="11" spans="1:15" s="1" customFormat="1" ht="14.25" customHeight="1" x14ac:dyDescent="0.2">
      <c r="A11" s="1" t="s">
        <v>7</v>
      </c>
      <c r="B11" s="1" t="s">
        <v>8</v>
      </c>
      <c r="C11" s="1" t="s">
        <v>9</v>
      </c>
      <c r="D11" s="1" t="s">
        <v>10</v>
      </c>
      <c r="E11" s="1" t="s">
        <v>11</v>
      </c>
      <c r="K11" s="1" t="s">
        <v>8</v>
      </c>
      <c r="L11" s="1" t="s">
        <v>4</v>
      </c>
      <c r="M11" s="1" t="s">
        <v>13</v>
      </c>
      <c r="N11" s="1" t="s">
        <v>14</v>
      </c>
      <c r="O11" s="1" t="s">
        <v>15</v>
      </c>
    </row>
    <row r="12" spans="1:15" x14ac:dyDescent="0.2">
      <c r="A12" s="2">
        <v>0</v>
      </c>
      <c r="B12" s="9">
        <f t="shared" ref="B12:B75" si="2">ROUNDDOWN(A12/$B$4,0)</f>
        <v>0</v>
      </c>
      <c r="C12" s="4">
        <f>B3</f>
        <v>850000</v>
      </c>
      <c r="D12" s="5">
        <f>$B$2*C12/$B$4</f>
        <v>2479.166666666667</v>
      </c>
      <c r="E12" s="17">
        <f>$B$7</f>
        <v>1416.6666666666667</v>
      </c>
      <c r="F12" s="10"/>
      <c r="G12" s="4"/>
      <c r="H12" s="6"/>
      <c r="K12" s="2">
        <v>0</v>
      </c>
      <c r="L12" s="14">
        <f>SUMIF($B$12:$B$611,K12,$E$12:$E$611)</f>
        <v>16999.999999999996</v>
      </c>
      <c r="M12" s="14">
        <f>SUMIF($B$12:$B$611,K12,$D$12:$D$611)</f>
        <v>29477.291666666672</v>
      </c>
      <c r="N12" s="11">
        <f>L12/$B$3</f>
        <v>1.9999999999999997E-2</v>
      </c>
      <c r="O12" s="14">
        <f>L12+M12</f>
        <v>46477.291666666672</v>
      </c>
    </row>
    <row r="13" spans="1:15" x14ac:dyDescent="0.2">
      <c r="A13" s="2">
        <v>1</v>
      </c>
      <c r="B13" s="9">
        <f t="shared" si="2"/>
        <v>0</v>
      </c>
      <c r="C13" s="4">
        <f>C12-E12</f>
        <v>848583.33333333337</v>
      </c>
      <c r="D13" s="5">
        <f t="shared" ref="D13:D76" si="3">$B$2*C13/$B$4</f>
        <v>2475.0347222222226</v>
      </c>
      <c r="E13" s="6">
        <f t="shared" ref="E13:E76" si="4">$B$7</f>
        <v>1416.6666666666667</v>
      </c>
      <c r="F13" s="10"/>
      <c r="K13" s="2">
        <v>1</v>
      </c>
      <c r="L13" s="14">
        <f t="shared" ref="L13:L61" si="5">SUMIF($B$12:$B$611,K13,$E$12:$E$611)</f>
        <v>16999.999999999996</v>
      </c>
      <c r="M13" s="14">
        <f t="shared" ref="M13:M61" si="6">SUMIF($B$12:$B$611,K13,$D$12:$D$611)</f>
        <v>28882.291666666693</v>
      </c>
      <c r="N13" s="11">
        <f t="shared" ref="N13:N61" si="7">L13/$B$3</f>
        <v>1.9999999999999997E-2</v>
      </c>
      <c r="O13" s="14">
        <f t="shared" ref="O13:O61" si="8">L13+M13</f>
        <v>45882.291666666686</v>
      </c>
    </row>
    <row r="14" spans="1:15" x14ac:dyDescent="0.2">
      <c r="A14" s="2">
        <v>2</v>
      </c>
      <c r="B14" s="9">
        <f t="shared" si="2"/>
        <v>0</v>
      </c>
      <c r="C14" s="4">
        <f t="shared" ref="C14:C77" si="9">C13-E13</f>
        <v>847166.66666666674</v>
      </c>
      <c r="D14" s="5">
        <f t="shared" si="3"/>
        <v>2470.9027777777783</v>
      </c>
      <c r="E14" s="6">
        <f t="shared" si="4"/>
        <v>1416.6666666666667</v>
      </c>
      <c r="F14" s="10"/>
      <c r="G14" s="4"/>
      <c r="H14" s="6"/>
      <c r="K14" s="2">
        <v>2</v>
      </c>
      <c r="L14" s="14">
        <f t="shared" si="5"/>
        <v>16999.999999999996</v>
      </c>
      <c r="M14" s="14">
        <f t="shared" si="6"/>
        <v>28287.291666666712</v>
      </c>
      <c r="N14" s="11">
        <f t="shared" si="7"/>
        <v>1.9999999999999997E-2</v>
      </c>
      <c r="O14" s="14">
        <f t="shared" si="8"/>
        <v>45287.291666666708</v>
      </c>
    </row>
    <row r="15" spans="1:15" x14ac:dyDescent="0.2">
      <c r="A15" s="2">
        <v>3</v>
      </c>
      <c r="B15" s="9">
        <f t="shared" si="2"/>
        <v>0</v>
      </c>
      <c r="C15" s="4">
        <f t="shared" si="9"/>
        <v>845750.00000000012</v>
      </c>
      <c r="D15" s="5">
        <f t="shared" si="3"/>
        <v>2466.7708333333339</v>
      </c>
      <c r="E15" s="6">
        <f t="shared" si="4"/>
        <v>1416.6666666666667</v>
      </c>
      <c r="F15" s="10"/>
      <c r="K15" s="2">
        <v>3</v>
      </c>
      <c r="L15" s="14">
        <f t="shared" si="5"/>
        <v>16999.999999999996</v>
      </c>
      <c r="M15" s="14">
        <f t="shared" si="6"/>
        <v>27692.291666666726</v>
      </c>
      <c r="N15" s="11">
        <f t="shared" si="7"/>
        <v>1.9999999999999997E-2</v>
      </c>
      <c r="O15" s="14">
        <f t="shared" si="8"/>
        <v>44692.291666666722</v>
      </c>
    </row>
    <row r="16" spans="1:15" x14ac:dyDescent="0.2">
      <c r="A16" s="2">
        <v>4</v>
      </c>
      <c r="B16" s="9">
        <f t="shared" si="2"/>
        <v>0</v>
      </c>
      <c r="C16" s="4">
        <f t="shared" si="9"/>
        <v>844333.33333333349</v>
      </c>
      <c r="D16" s="5">
        <f t="shared" si="3"/>
        <v>2462.6388888888896</v>
      </c>
      <c r="E16" s="6">
        <f t="shared" si="4"/>
        <v>1416.6666666666667</v>
      </c>
      <c r="F16" s="10"/>
      <c r="G16" s="4"/>
      <c r="H16" s="6"/>
      <c r="K16" s="2">
        <v>4</v>
      </c>
      <c r="L16" s="14">
        <f t="shared" si="5"/>
        <v>16999.999999999996</v>
      </c>
      <c r="M16" s="14">
        <f t="shared" si="6"/>
        <v>27097.291666666741</v>
      </c>
      <c r="N16" s="11">
        <f t="shared" si="7"/>
        <v>1.9999999999999997E-2</v>
      </c>
      <c r="O16" s="14">
        <f t="shared" si="8"/>
        <v>44097.291666666737</v>
      </c>
    </row>
    <row r="17" spans="1:15" x14ac:dyDescent="0.2">
      <c r="A17" s="2">
        <v>5</v>
      </c>
      <c r="B17" s="9">
        <f t="shared" si="2"/>
        <v>0</v>
      </c>
      <c r="C17" s="4">
        <f t="shared" si="9"/>
        <v>842916.66666666686</v>
      </c>
      <c r="D17" s="5">
        <f t="shared" si="3"/>
        <v>2458.5069444444453</v>
      </c>
      <c r="E17" s="6">
        <f t="shared" si="4"/>
        <v>1416.6666666666667</v>
      </c>
      <c r="F17" s="10"/>
      <c r="G17" s="4"/>
      <c r="H17" s="6"/>
      <c r="K17" s="2">
        <v>5</v>
      </c>
      <c r="L17" s="14">
        <f t="shared" si="5"/>
        <v>16999.999999999996</v>
      </c>
      <c r="M17" s="14">
        <f t="shared" si="6"/>
        <v>26502.291666666755</v>
      </c>
      <c r="N17" s="11">
        <f t="shared" si="7"/>
        <v>1.9999999999999997E-2</v>
      </c>
      <c r="O17" s="14">
        <f t="shared" si="8"/>
        <v>43502.291666666752</v>
      </c>
    </row>
    <row r="18" spans="1:15" x14ac:dyDescent="0.2">
      <c r="A18" s="2">
        <v>6</v>
      </c>
      <c r="B18" s="9">
        <f t="shared" si="2"/>
        <v>0</v>
      </c>
      <c r="C18" s="4">
        <f t="shared" si="9"/>
        <v>841500.00000000023</v>
      </c>
      <c r="D18" s="5">
        <f t="shared" si="3"/>
        <v>2454.3750000000009</v>
      </c>
      <c r="E18" s="6">
        <f t="shared" si="4"/>
        <v>1416.6666666666667</v>
      </c>
      <c r="F18" s="10"/>
      <c r="G18" s="4"/>
      <c r="H18" s="6"/>
      <c r="K18" s="2">
        <v>6</v>
      </c>
      <c r="L18" s="14">
        <f t="shared" si="5"/>
        <v>16999.999999999996</v>
      </c>
      <c r="M18" s="14">
        <f t="shared" si="6"/>
        <v>25907.291666666773</v>
      </c>
      <c r="N18" s="11">
        <f t="shared" si="7"/>
        <v>1.9999999999999997E-2</v>
      </c>
      <c r="O18" s="14">
        <f t="shared" si="8"/>
        <v>42907.291666666773</v>
      </c>
    </row>
    <row r="19" spans="1:15" x14ac:dyDescent="0.2">
      <c r="A19" s="2">
        <v>7</v>
      </c>
      <c r="B19" s="9">
        <f t="shared" si="2"/>
        <v>0</v>
      </c>
      <c r="C19" s="4">
        <f t="shared" si="9"/>
        <v>840083.3333333336</v>
      </c>
      <c r="D19" s="5">
        <f t="shared" si="3"/>
        <v>2450.2430555555566</v>
      </c>
      <c r="E19" s="6">
        <f t="shared" si="4"/>
        <v>1416.6666666666667</v>
      </c>
      <c r="F19" s="10"/>
      <c r="G19" s="4"/>
      <c r="H19" s="6"/>
      <c r="K19" s="2">
        <v>7</v>
      </c>
      <c r="L19" s="14">
        <f t="shared" si="5"/>
        <v>16999.999999999996</v>
      </c>
      <c r="M19" s="14">
        <f t="shared" si="6"/>
        <v>25312.291666666792</v>
      </c>
      <c r="N19" s="11">
        <f t="shared" si="7"/>
        <v>1.9999999999999997E-2</v>
      </c>
      <c r="O19" s="14">
        <f t="shared" si="8"/>
        <v>42312.291666666788</v>
      </c>
    </row>
    <row r="20" spans="1:15" x14ac:dyDescent="0.2">
      <c r="A20" s="2">
        <v>8</v>
      </c>
      <c r="B20" s="9">
        <f t="shared" si="2"/>
        <v>0</v>
      </c>
      <c r="C20" s="4">
        <f t="shared" si="9"/>
        <v>838666.66666666698</v>
      </c>
      <c r="D20" s="5">
        <f t="shared" si="3"/>
        <v>2446.1111111111122</v>
      </c>
      <c r="E20" s="6">
        <f t="shared" si="4"/>
        <v>1416.6666666666667</v>
      </c>
      <c r="F20" s="10"/>
      <c r="G20" s="4"/>
      <c r="H20" s="6"/>
      <c r="K20" s="2">
        <v>8</v>
      </c>
      <c r="L20" s="14">
        <f t="shared" si="5"/>
        <v>16999.999999999996</v>
      </c>
      <c r="M20" s="14">
        <f t="shared" si="6"/>
        <v>24717.29166666681</v>
      </c>
      <c r="N20" s="11">
        <f t="shared" si="7"/>
        <v>1.9999999999999997E-2</v>
      </c>
      <c r="O20" s="14">
        <f t="shared" si="8"/>
        <v>41717.291666666802</v>
      </c>
    </row>
    <row r="21" spans="1:15" x14ac:dyDescent="0.2">
      <c r="A21" s="2">
        <v>9</v>
      </c>
      <c r="B21" s="9">
        <f t="shared" si="2"/>
        <v>0</v>
      </c>
      <c r="C21" s="4">
        <f t="shared" si="9"/>
        <v>837250.00000000035</v>
      </c>
      <c r="D21" s="5">
        <f t="shared" si="3"/>
        <v>2441.9791666666679</v>
      </c>
      <c r="E21" s="6">
        <f t="shared" si="4"/>
        <v>1416.6666666666667</v>
      </c>
      <c r="F21" s="10"/>
      <c r="G21" s="4"/>
      <c r="H21" s="6"/>
      <c r="K21" s="2">
        <v>9</v>
      </c>
      <c r="L21" s="14">
        <f t="shared" si="5"/>
        <v>16999.999999999996</v>
      </c>
      <c r="M21" s="14">
        <f t="shared" si="6"/>
        <v>24122.291666666824</v>
      </c>
      <c r="N21" s="11">
        <f t="shared" si="7"/>
        <v>1.9999999999999997E-2</v>
      </c>
      <c r="O21" s="14">
        <f t="shared" si="8"/>
        <v>41122.291666666817</v>
      </c>
    </row>
    <row r="22" spans="1:15" x14ac:dyDescent="0.2">
      <c r="A22" s="2">
        <v>10</v>
      </c>
      <c r="B22" s="9">
        <f t="shared" si="2"/>
        <v>0</v>
      </c>
      <c r="C22" s="4">
        <f t="shared" si="9"/>
        <v>835833.33333333372</v>
      </c>
      <c r="D22" s="5">
        <f t="shared" si="3"/>
        <v>2437.8472222222235</v>
      </c>
      <c r="E22" s="6">
        <f t="shared" si="4"/>
        <v>1416.6666666666667</v>
      </c>
      <c r="F22" s="10"/>
      <c r="G22" s="4"/>
      <c r="H22" s="6"/>
      <c r="K22" s="2">
        <v>10</v>
      </c>
      <c r="L22" s="14">
        <f t="shared" si="5"/>
        <v>16999.999999999996</v>
      </c>
      <c r="M22" s="14">
        <f t="shared" si="6"/>
        <v>23527.291666666839</v>
      </c>
      <c r="N22" s="11">
        <f t="shared" si="7"/>
        <v>1.9999999999999997E-2</v>
      </c>
      <c r="O22" s="14">
        <f t="shared" si="8"/>
        <v>40527.291666666832</v>
      </c>
    </row>
    <row r="23" spans="1:15" x14ac:dyDescent="0.2">
      <c r="A23" s="2">
        <v>11</v>
      </c>
      <c r="B23" s="9">
        <f t="shared" si="2"/>
        <v>0</v>
      </c>
      <c r="C23" s="4">
        <f t="shared" si="9"/>
        <v>834416.66666666709</v>
      </c>
      <c r="D23" s="5">
        <f t="shared" si="3"/>
        <v>2433.7152777777792</v>
      </c>
      <c r="E23" s="6">
        <f t="shared" si="4"/>
        <v>1416.6666666666667</v>
      </c>
      <c r="F23" s="10"/>
      <c r="G23" s="4"/>
      <c r="H23" s="6"/>
      <c r="K23" s="2">
        <v>11</v>
      </c>
      <c r="L23" s="14">
        <f t="shared" si="5"/>
        <v>16999.999999999996</v>
      </c>
      <c r="M23" s="14">
        <f t="shared" si="6"/>
        <v>22932.291666666857</v>
      </c>
      <c r="N23" s="11">
        <f t="shared" si="7"/>
        <v>1.9999999999999997E-2</v>
      </c>
      <c r="O23" s="14">
        <f t="shared" si="8"/>
        <v>39932.291666666853</v>
      </c>
    </row>
    <row r="24" spans="1:15" x14ac:dyDescent="0.2">
      <c r="A24" s="2">
        <v>12</v>
      </c>
      <c r="B24" s="9">
        <f t="shared" si="2"/>
        <v>1</v>
      </c>
      <c r="C24" s="4">
        <f t="shared" si="9"/>
        <v>833000.00000000047</v>
      </c>
      <c r="D24" s="5">
        <f t="shared" si="3"/>
        <v>2429.5833333333348</v>
      </c>
      <c r="E24" s="6">
        <f t="shared" si="4"/>
        <v>1416.6666666666667</v>
      </c>
      <c r="F24" s="10"/>
      <c r="G24" s="4"/>
      <c r="H24" s="6"/>
      <c r="K24" s="2">
        <v>12</v>
      </c>
      <c r="L24" s="14">
        <f t="shared" si="5"/>
        <v>16999.999999999996</v>
      </c>
      <c r="M24" s="14">
        <f t="shared" si="6"/>
        <v>22337.291666666875</v>
      </c>
      <c r="N24" s="11">
        <f t="shared" si="7"/>
        <v>1.9999999999999997E-2</v>
      </c>
      <c r="O24" s="14">
        <f t="shared" si="8"/>
        <v>39337.291666666875</v>
      </c>
    </row>
    <row r="25" spans="1:15" x14ac:dyDescent="0.2">
      <c r="A25" s="2">
        <v>13</v>
      </c>
      <c r="B25" s="9">
        <f t="shared" si="2"/>
        <v>1</v>
      </c>
      <c r="C25" s="4">
        <f t="shared" si="9"/>
        <v>831583.33333333384</v>
      </c>
      <c r="D25" s="5">
        <f t="shared" si="3"/>
        <v>2425.4513888888905</v>
      </c>
      <c r="E25" s="6">
        <f t="shared" si="4"/>
        <v>1416.6666666666667</v>
      </c>
      <c r="F25" s="10"/>
      <c r="G25" s="4"/>
      <c r="H25" s="6"/>
      <c r="K25" s="2">
        <v>13</v>
      </c>
      <c r="L25" s="14">
        <f t="shared" si="5"/>
        <v>16999.999999999996</v>
      </c>
      <c r="M25" s="14">
        <f t="shared" si="6"/>
        <v>21742.29166666689</v>
      </c>
      <c r="N25" s="11">
        <f t="shared" si="7"/>
        <v>1.9999999999999997E-2</v>
      </c>
      <c r="O25" s="14">
        <f t="shared" si="8"/>
        <v>38742.29166666689</v>
      </c>
    </row>
    <row r="26" spans="1:15" x14ac:dyDescent="0.2">
      <c r="A26" s="2">
        <v>14</v>
      </c>
      <c r="B26" s="9">
        <f t="shared" si="2"/>
        <v>1</v>
      </c>
      <c r="C26" s="4">
        <f t="shared" si="9"/>
        <v>830166.66666666721</v>
      </c>
      <c r="D26" s="5">
        <f t="shared" si="3"/>
        <v>2421.3194444444462</v>
      </c>
      <c r="E26" s="6">
        <f t="shared" si="4"/>
        <v>1416.6666666666667</v>
      </c>
      <c r="F26" s="10"/>
      <c r="G26" s="4"/>
      <c r="H26" s="6"/>
      <c r="K26" s="2">
        <v>14</v>
      </c>
      <c r="L26" s="14">
        <f t="shared" si="5"/>
        <v>16999.999999999996</v>
      </c>
      <c r="M26" s="14">
        <f t="shared" si="6"/>
        <v>21147.291666666908</v>
      </c>
      <c r="N26" s="11">
        <f t="shared" si="7"/>
        <v>1.9999999999999997E-2</v>
      </c>
      <c r="O26" s="14">
        <f t="shared" si="8"/>
        <v>38147.291666666904</v>
      </c>
    </row>
    <row r="27" spans="1:15" x14ac:dyDescent="0.2">
      <c r="A27" s="2">
        <v>15</v>
      </c>
      <c r="B27" s="9">
        <f t="shared" si="2"/>
        <v>1</v>
      </c>
      <c r="C27" s="4">
        <f t="shared" si="9"/>
        <v>828750.00000000058</v>
      </c>
      <c r="D27" s="5">
        <f t="shared" si="3"/>
        <v>2417.1875000000018</v>
      </c>
      <c r="E27" s="6">
        <f t="shared" si="4"/>
        <v>1416.6666666666667</v>
      </c>
      <c r="F27" s="10"/>
      <c r="G27" s="4"/>
      <c r="H27" s="6"/>
      <c r="K27" s="2">
        <v>15</v>
      </c>
      <c r="L27" s="14">
        <f t="shared" si="5"/>
        <v>16999.999999999996</v>
      </c>
      <c r="M27" s="14">
        <f t="shared" si="6"/>
        <v>20552.291666666923</v>
      </c>
      <c r="N27" s="11">
        <f t="shared" si="7"/>
        <v>1.9999999999999997E-2</v>
      </c>
      <c r="O27" s="14">
        <f t="shared" si="8"/>
        <v>37552.291666666919</v>
      </c>
    </row>
    <row r="28" spans="1:15" x14ac:dyDescent="0.2">
      <c r="A28" s="2">
        <v>16</v>
      </c>
      <c r="B28" s="9">
        <f t="shared" si="2"/>
        <v>1</v>
      </c>
      <c r="C28" s="4">
        <f t="shared" si="9"/>
        <v>827333.33333333395</v>
      </c>
      <c r="D28" s="5">
        <f t="shared" si="3"/>
        <v>2413.0555555555575</v>
      </c>
      <c r="E28" s="6">
        <f t="shared" si="4"/>
        <v>1416.6666666666667</v>
      </c>
      <c r="F28" s="10"/>
      <c r="G28" s="4"/>
      <c r="H28" s="6"/>
      <c r="K28" s="2">
        <v>16</v>
      </c>
      <c r="L28" s="14">
        <f t="shared" si="5"/>
        <v>16999.999999999996</v>
      </c>
      <c r="M28" s="14">
        <f t="shared" si="6"/>
        <v>19957.291666666937</v>
      </c>
      <c r="N28" s="11">
        <f t="shared" si="7"/>
        <v>1.9999999999999997E-2</v>
      </c>
      <c r="O28" s="14">
        <f t="shared" si="8"/>
        <v>36957.291666666933</v>
      </c>
    </row>
    <row r="29" spans="1:15" x14ac:dyDescent="0.2">
      <c r="A29" s="2">
        <v>17</v>
      </c>
      <c r="B29" s="9">
        <f t="shared" si="2"/>
        <v>1</v>
      </c>
      <c r="C29" s="4">
        <f t="shared" si="9"/>
        <v>825916.66666666733</v>
      </c>
      <c r="D29" s="5">
        <f t="shared" si="3"/>
        <v>2408.9236111111131</v>
      </c>
      <c r="E29" s="6">
        <f t="shared" si="4"/>
        <v>1416.6666666666667</v>
      </c>
      <c r="F29" s="10"/>
      <c r="G29" s="4"/>
      <c r="H29" s="6"/>
      <c r="K29" s="2">
        <v>17</v>
      </c>
      <c r="L29" s="14">
        <f t="shared" si="5"/>
        <v>16999.999999999996</v>
      </c>
      <c r="M29" s="14">
        <f t="shared" si="6"/>
        <v>19362.291666666952</v>
      </c>
      <c r="N29" s="11">
        <f t="shared" si="7"/>
        <v>1.9999999999999997E-2</v>
      </c>
      <c r="O29" s="14">
        <f t="shared" si="8"/>
        <v>36362.291666666948</v>
      </c>
    </row>
    <row r="30" spans="1:15" x14ac:dyDescent="0.2">
      <c r="A30" s="2">
        <v>18</v>
      </c>
      <c r="B30" s="9">
        <f t="shared" si="2"/>
        <v>1</v>
      </c>
      <c r="C30" s="4">
        <f t="shared" si="9"/>
        <v>824500.0000000007</v>
      </c>
      <c r="D30" s="5">
        <f t="shared" si="3"/>
        <v>2404.7916666666688</v>
      </c>
      <c r="E30" s="6">
        <f t="shared" si="4"/>
        <v>1416.6666666666667</v>
      </c>
      <c r="F30" s="10"/>
      <c r="G30" s="4"/>
      <c r="H30" s="6"/>
      <c r="K30" s="2">
        <v>18</v>
      </c>
      <c r="L30" s="14">
        <f t="shared" si="5"/>
        <v>16999.999999999996</v>
      </c>
      <c r="M30" s="14">
        <f t="shared" si="6"/>
        <v>18767.29166666697</v>
      </c>
      <c r="N30" s="11">
        <f t="shared" si="7"/>
        <v>1.9999999999999997E-2</v>
      </c>
      <c r="O30" s="14">
        <f t="shared" si="8"/>
        <v>35767.291666666963</v>
      </c>
    </row>
    <row r="31" spans="1:15" x14ac:dyDescent="0.2">
      <c r="A31" s="2">
        <v>19</v>
      </c>
      <c r="B31" s="9">
        <f t="shared" si="2"/>
        <v>1</v>
      </c>
      <c r="C31" s="4">
        <f t="shared" si="9"/>
        <v>823083.33333333407</v>
      </c>
      <c r="D31" s="5">
        <f t="shared" si="3"/>
        <v>2400.6597222222249</v>
      </c>
      <c r="E31" s="6">
        <f t="shared" si="4"/>
        <v>1416.6666666666667</v>
      </c>
      <c r="F31" s="10"/>
      <c r="G31" s="4"/>
      <c r="H31" s="6"/>
      <c r="K31" s="2">
        <v>19</v>
      </c>
      <c r="L31" s="14">
        <f t="shared" si="5"/>
        <v>16999.999999999996</v>
      </c>
      <c r="M31" s="14">
        <f t="shared" si="6"/>
        <v>18172.291666666977</v>
      </c>
      <c r="N31" s="11">
        <f t="shared" si="7"/>
        <v>1.9999999999999997E-2</v>
      </c>
      <c r="O31" s="14">
        <f t="shared" si="8"/>
        <v>35172.291666666977</v>
      </c>
    </row>
    <row r="32" spans="1:15" x14ac:dyDescent="0.2">
      <c r="A32" s="2">
        <v>20</v>
      </c>
      <c r="B32" s="9">
        <f t="shared" si="2"/>
        <v>1</v>
      </c>
      <c r="C32" s="4">
        <f t="shared" si="9"/>
        <v>821666.66666666744</v>
      </c>
      <c r="D32" s="5">
        <f t="shared" si="3"/>
        <v>2396.5277777777806</v>
      </c>
      <c r="E32" s="6">
        <f t="shared" si="4"/>
        <v>1416.6666666666667</v>
      </c>
      <c r="F32" s="10"/>
      <c r="G32" s="4"/>
      <c r="H32" s="6"/>
      <c r="K32" s="2">
        <v>20</v>
      </c>
      <c r="L32" s="14">
        <f t="shared" si="5"/>
        <v>16999.999999999996</v>
      </c>
      <c r="M32" s="14">
        <f t="shared" si="6"/>
        <v>17577.291666666966</v>
      </c>
      <c r="N32" s="11">
        <f t="shared" si="7"/>
        <v>1.9999999999999997E-2</v>
      </c>
      <c r="O32" s="14">
        <f t="shared" si="8"/>
        <v>34577.291666666963</v>
      </c>
    </row>
    <row r="33" spans="1:15" x14ac:dyDescent="0.2">
      <c r="A33" s="2">
        <v>21</v>
      </c>
      <c r="B33" s="9">
        <f t="shared" si="2"/>
        <v>1</v>
      </c>
      <c r="C33" s="4">
        <f t="shared" si="9"/>
        <v>820250.00000000081</v>
      </c>
      <c r="D33" s="5">
        <f t="shared" si="3"/>
        <v>2392.3958333333362</v>
      </c>
      <c r="E33" s="6">
        <f t="shared" si="4"/>
        <v>1416.6666666666667</v>
      </c>
      <c r="F33" s="10"/>
      <c r="G33" s="4"/>
      <c r="H33" s="6"/>
      <c r="K33" s="2">
        <v>21</v>
      </c>
      <c r="L33" s="14">
        <f t="shared" si="5"/>
        <v>16999.999999999996</v>
      </c>
      <c r="M33" s="14">
        <f t="shared" si="6"/>
        <v>16982.291666666963</v>
      </c>
      <c r="N33" s="11">
        <f t="shared" si="7"/>
        <v>1.9999999999999997E-2</v>
      </c>
      <c r="O33" s="14">
        <f t="shared" si="8"/>
        <v>33982.291666666963</v>
      </c>
    </row>
    <row r="34" spans="1:15" x14ac:dyDescent="0.2">
      <c r="A34" s="2">
        <v>22</v>
      </c>
      <c r="B34" s="9">
        <f t="shared" si="2"/>
        <v>1</v>
      </c>
      <c r="C34" s="4">
        <f t="shared" si="9"/>
        <v>818833.33333333419</v>
      </c>
      <c r="D34" s="5">
        <f t="shared" si="3"/>
        <v>2388.2638888888919</v>
      </c>
      <c r="E34" s="6">
        <f t="shared" si="4"/>
        <v>1416.6666666666667</v>
      </c>
      <c r="F34" s="10"/>
      <c r="G34" s="4"/>
      <c r="H34" s="6"/>
      <c r="K34" s="2">
        <v>22</v>
      </c>
      <c r="L34" s="14">
        <f t="shared" si="5"/>
        <v>16999.999999999996</v>
      </c>
      <c r="M34" s="14">
        <f t="shared" si="6"/>
        <v>16387.291666666952</v>
      </c>
      <c r="N34" s="11">
        <f t="shared" si="7"/>
        <v>1.9999999999999997E-2</v>
      </c>
      <c r="O34" s="14">
        <f t="shared" si="8"/>
        <v>33387.291666666948</v>
      </c>
    </row>
    <row r="35" spans="1:15" x14ac:dyDescent="0.2">
      <c r="A35" s="2">
        <v>23</v>
      </c>
      <c r="B35" s="9">
        <f t="shared" si="2"/>
        <v>1</v>
      </c>
      <c r="C35" s="4">
        <f t="shared" si="9"/>
        <v>817416.66666666756</v>
      </c>
      <c r="D35" s="5">
        <f t="shared" si="3"/>
        <v>2384.1319444444475</v>
      </c>
      <c r="E35" s="6">
        <f t="shared" si="4"/>
        <v>1416.6666666666667</v>
      </c>
      <c r="F35" s="10"/>
      <c r="G35" s="4"/>
      <c r="H35" s="6"/>
      <c r="K35" s="2">
        <v>23</v>
      </c>
      <c r="L35" s="14">
        <f t="shared" si="5"/>
        <v>16999.999999999996</v>
      </c>
      <c r="M35" s="14">
        <f t="shared" si="6"/>
        <v>15792.291666666943</v>
      </c>
      <c r="N35" s="11">
        <f t="shared" si="7"/>
        <v>1.9999999999999997E-2</v>
      </c>
      <c r="O35" s="14">
        <f t="shared" si="8"/>
        <v>32792.291666666941</v>
      </c>
    </row>
    <row r="36" spans="1:15" x14ac:dyDescent="0.2">
      <c r="A36" s="2">
        <v>24</v>
      </c>
      <c r="B36" s="9">
        <f t="shared" si="2"/>
        <v>2</v>
      </c>
      <c r="C36" s="4">
        <f t="shared" si="9"/>
        <v>816000.00000000093</v>
      </c>
      <c r="D36" s="5">
        <f t="shared" si="3"/>
        <v>2380.0000000000032</v>
      </c>
      <c r="E36" s="6">
        <f t="shared" si="4"/>
        <v>1416.6666666666667</v>
      </c>
      <c r="F36" s="10"/>
      <c r="G36" s="4"/>
      <c r="H36" s="6"/>
      <c r="K36" s="2">
        <v>24</v>
      </c>
      <c r="L36" s="14">
        <f t="shared" si="5"/>
        <v>16999.999999999996</v>
      </c>
      <c r="M36" s="14">
        <f t="shared" si="6"/>
        <v>15197.291666666933</v>
      </c>
      <c r="N36" s="11">
        <f t="shared" si="7"/>
        <v>1.9999999999999997E-2</v>
      </c>
      <c r="O36" s="14">
        <f t="shared" si="8"/>
        <v>32197.29166666693</v>
      </c>
    </row>
    <row r="37" spans="1:15" x14ac:dyDescent="0.2">
      <c r="A37" s="2">
        <v>25</v>
      </c>
      <c r="B37" s="9">
        <f t="shared" si="2"/>
        <v>2</v>
      </c>
      <c r="C37" s="4">
        <f t="shared" si="9"/>
        <v>814583.3333333343</v>
      </c>
      <c r="D37" s="5">
        <f t="shared" si="3"/>
        <v>2375.8680555555588</v>
      </c>
      <c r="E37" s="6">
        <f t="shared" si="4"/>
        <v>1416.6666666666667</v>
      </c>
      <c r="F37" s="10"/>
      <c r="G37" s="4"/>
      <c r="H37" s="6"/>
      <c r="K37" s="2">
        <v>25</v>
      </c>
      <c r="L37" s="14">
        <f t="shared" si="5"/>
        <v>16999.999999999996</v>
      </c>
      <c r="M37" s="14">
        <f t="shared" si="6"/>
        <v>14602.291666666926</v>
      </c>
      <c r="N37" s="11">
        <f t="shared" si="7"/>
        <v>1.9999999999999997E-2</v>
      </c>
      <c r="O37" s="14">
        <f t="shared" si="8"/>
        <v>31602.291666666923</v>
      </c>
    </row>
    <row r="38" spans="1:15" x14ac:dyDescent="0.2">
      <c r="A38" s="2">
        <v>26</v>
      </c>
      <c r="B38" s="9">
        <f t="shared" si="2"/>
        <v>2</v>
      </c>
      <c r="C38" s="4">
        <f t="shared" si="9"/>
        <v>813166.66666666768</v>
      </c>
      <c r="D38" s="5">
        <f t="shared" si="3"/>
        <v>2371.7361111111145</v>
      </c>
      <c r="E38" s="6">
        <f t="shared" si="4"/>
        <v>1416.6666666666667</v>
      </c>
      <c r="F38" s="10"/>
      <c r="G38" s="4"/>
      <c r="H38" s="6"/>
      <c r="K38" s="2">
        <v>26</v>
      </c>
      <c r="L38" s="14">
        <f t="shared" si="5"/>
        <v>16999.999999999996</v>
      </c>
      <c r="M38" s="14">
        <f t="shared" si="6"/>
        <v>14007.291666666919</v>
      </c>
      <c r="N38" s="11">
        <f t="shared" si="7"/>
        <v>1.9999999999999997E-2</v>
      </c>
      <c r="O38" s="14">
        <f t="shared" si="8"/>
        <v>31007.291666666915</v>
      </c>
    </row>
    <row r="39" spans="1:15" x14ac:dyDescent="0.2">
      <c r="A39" s="2">
        <v>27</v>
      </c>
      <c r="B39" s="9">
        <f t="shared" si="2"/>
        <v>2</v>
      </c>
      <c r="C39" s="4">
        <f t="shared" si="9"/>
        <v>811750.00000000105</v>
      </c>
      <c r="D39" s="5">
        <f t="shared" si="3"/>
        <v>2367.6041666666702</v>
      </c>
      <c r="E39" s="6">
        <f t="shared" si="4"/>
        <v>1416.6666666666667</v>
      </c>
      <c r="F39" s="10"/>
      <c r="G39" s="4"/>
      <c r="H39" s="6"/>
      <c r="K39" s="2">
        <v>27</v>
      </c>
      <c r="L39" s="14">
        <f t="shared" si="5"/>
        <v>16999.999999999996</v>
      </c>
      <c r="M39" s="14">
        <f t="shared" si="6"/>
        <v>13412.29166666691</v>
      </c>
      <c r="N39" s="11">
        <f t="shared" si="7"/>
        <v>1.9999999999999997E-2</v>
      </c>
      <c r="O39" s="14">
        <f t="shared" si="8"/>
        <v>30412.291666666904</v>
      </c>
    </row>
    <row r="40" spans="1:15" x14ac:dyDescent="0.2">
      <c r="A40" s="2">
        <v>28</v>
      </c>
      <c r="B40" s="9">
        <f t="shared" si="2"/>
        <v>2</v>
      </c>
      <c r="C40" s="4">
        <f t="shared" si="9"/>
        <v>810333.33333333442</v>
      </c>
      <c r="D40" s="5">
        <f t="shared" si="3"/>
        <v>2363.4722222222258</v>
      </c>
      <c r="E40" s="6">
        <f t="shared" si="4"/>
        <v>1416.6666666666667</v>
      </c>
      <c r="F40" s="10"/>
      <c r="G40" s="4"/>
      <c r="H40" s="6"/>
      <c r="K40" s="2">
        <v>28</v>
      </c>
      <c r="L40" s="14">
        <f t="shared" si="5"/>
        <v>16999.999999999996</v>
      </c>
      <c r="M40" s="14">
        <f t="shared" si="6"/>
        <v>12817.291666666901</v>
      </c>
      <c r="N40" s="11">
        <f t="shared" si="7"/>
        <v>1.9999999999999997E-2</v>
      </c>
      <c r="O40" s="14">
        <f t="shared" si="8"/>
        <v>29817.291666666897</v>
      </c>
    </row>
    <row r="41" spans="1:15" x14ac:dyDescent="0.2">
      <c r="A41" s="2">
        <v>29</v>
      </c>
      <c r="B41" s="9">
        <f t="shared" si="2"/>
        <v>2</v>
      </c>
      <c r="C41" s="4">
        <f t="shared" si="9"/>
        <v>808916.66666666779</v>
      </c>
      <c r="D41" s="5">
        <f t="shared" si="3"/>
        <v>2359.3402777777815</v>
      </c>
      <c r="E41" s="6">
        <f t="shared" si="4"/>
        <v>1416.6666666666667</v>
      </c>
      <c r="F41" s="10"/>
      <c r="G41" s="4"/>
      <c r="H41" s="6"/>
      <c r="K41" s="2">
        <v>29</v>
      </c>
      <c r="L41" s="14">
        <f t="shared" si="5"/>
        <v>16999.999999999996</v>
      </c>
      <c r="M41" s="14">
        <f t="shared" si="6"/>
        <v>12222.291666666893</v>
      </c>
      <c r="N41" s="11">
        <f t="shared" si="7"/>
        <v>1.9999999999999997E-2</v>
      </c>
      <c r="O41" s="14">
        <f t="shared" si="8"/>
        <v>29222.29166666689</v>
      </c>
    </row>
    <row r="42" spans="1:15" x14ac:dyDescent="0.2">
      <c r="A42" s="2">
        <v>30</v>
      </c>
      <c r="B42" s="9">
        <f t="shared" si="2"/>
        <v>2</v>
      </c>
      <c r="C42" s="4">
        <f t="shared" si="9"/>
        <v>807500.00000000116</v>
      </c>
      <c r="D42" s="5">
        <f t="shared" si="3"/>
        <v>2355.2083333333371</v>
      </c>
      <c r="E42" s="6">
        <f t="shared" si="4"/>
        <v>1416.6666666666667</v>
      </c>
      <c r="F42" s="10"/>
      <c r="G42" s="4"/>
      <c r="H42" s="6"/>
      <c r="K42" s="2">
        <v>30</v>
      </c>
      <c r="L42" s="14">
        <f t="shared" si="5"/>
        <v>16999.999999999996</v>
      </c>
      <c r="M42" s="14">
        <f t="shared" si="6"/>
        <v>11627.291666666886</v>
      </c>
      <c r="N42" s="11">
        <f t="shared" si="7"/>
        <v>1.9999999999999997E-2</v>
      </c>
      <c r="O42" s="14">
        <f t="shared" si="8"/>
        <v>28627.291666666883</v>
      </c>
    </row>
    <row r="43" spans="1:15" x14ac:dyDescent="0.2">
      <c r="A43" s="2">
        <v>31</v>
      </c>
      <c r="B43" s="9">
        <f t="shared" si="2"/>
        <v>2</v>
      </c>
      <c r="C43" s="4">
        <f t="shared" si="9"/>
        <v>806083.33333333454</v>
      </c>
      <c r="D43" s="5">
        <f t="shared" si="3"/>
        <v>2351.0763888888928</v>
      </c>
      <c r="E43" s="6">
        <f t="shared" si="4"/>
        <v>1416.6666666666667</v>
      </c>
      <c r="F43" s="10"/>
      <c r="G43" s="4"/>
      <c r="H43" s="6"/>
      <c r="K43" s="2">
        <v>31</v>
      </c>
      <c r="L43" s="14">
        <f t="shared" si="5"/>
        <v>16999.999999999996</v>
      </c>
      <c r="M43" s="14">
        <f t="shared" si="6"/>
        <v>11032.291666666877</v>
      </c>
      <c r="N43" s="11">
        <f t="shared" si="7"/>
        <v>1.9999999999999997E-2</v>
      </c>
      <c r="O43" s="14">
        <f t="shared" si="8"/>
        <v>28032.291666666875</v>
      </c>
    </row>
    <row r="44" spans="1:15" x14ac:dyDescent="0.2">
      <c r="A44" s="2">
        <v>32</v>
      </c>
      <c r="B44" s="9">
        <f t="shared" si="2"/>
        <v>2</v>
      </c>
      <c r="C44" s="4">
        <f t="shared" si="9"/>
        <v>804666.66666666791</v>
      </c>
      <c r="D44" s="5">
        <f t="shared" si="3"/>
        <v>2346.9444444444484</v>
      </c>
      <c r="E44" s="6">
        <f t="shared" si="4"/>
        <v>1416.6666666666667</v>
      </c>
      <c r="F44" s="10"/>
      <c r="G44" s="4"/>
      <c r="H44" s="6"/>
      <c r="K44" s="2">
        <v>32</v>
      </c>
      <c r="L44" s="14">
        <f t="shared" si="5"/>
        <v>16999.999999999996</v>
      </c>
      <c r="M44" s="14">
        <f t="shared" si="6"/>
        <v>10437.29166666687</v>
      </c>
      <c r="N44" s="11">
        <f t="shared" si="7"/>
        <v>1.9999999999999997E-2</v>
      </c>
      <c r="O44" s="14">
        <f t="shared" si="8"/>
        <v>27437.291666666868</v>
      </c>
    </row>
    <row r="45" spans="1:15" x14ac:dyDescent="0.2">
      <c r="A45" s="2">
        <v>33</v>
      </c>
      <c r="B45" s="9">
        <f t="shared" si="2"/>
        <v>2</v>
      </c>
      <c r="C45" s="4">
        <f t="shared" si="9"/>
        <v>803250.00000000128</v>
      </c>
      <c r="D45" s="5">
        <f t="shared" si="3"/>
        <v>2342.8125000000041</v>
      </c>
      <c r="E45" s="6">
        <f t="shared" si="4"/>
        <v>1416.6666666666667</v>
      </c>
      <c r="F45" s="10"/>
      <c r="G45" s="4"/>
      <c r="H45" s="6"/>
      <c r="K45" s="2">
        <v>33</v>
      </c>
      <c r="L45" s="14">
        <f t="shared" si="5"/>
        <v>16999.999999999996</v>
      </c>
      <c r="M45" s="14">
        <f t="shared" si="6"/>
        <v>9842.2916666668625</v>
      </c>
      <c r="N45" s="11">
        <f t="shared" si="7"/>
        <v>1.9999999999999997E-2</v>
      </c>
      <c r="O45" s="14">
        <f t="shared" si="8"/>
        <v>26842.291666666861</v>
      </c>
    </row>
    <row r="46" spans="1:15" x14ac:dyDescent="0.2">
      <c r="A46" s="2">
        <v>34</v>
      </c>
      <c r="B46" s="9">
        <f t="shared" si="2"/>
        <v>2</v>
      </c>
      <c r="C46" s="4">
        <f t="shared" si="9"/>
        <v>801833.33333333465</v>
      </c>
      <c r="D46" s="5">
        <f t="shared" si="3"/>
        <v>2338.6805555555597</v>
      </c>
      <c r="E46" s="6">
        <f t="shared" si="4"/>
        <v>1416.6666666666667</v>
      </c>
      <c r="F46" s="10"/>
      <c r="G46" s="4"/>
      <c r="H46" s="6"/>
      <c r="K46" s="2">
        <v>34</v>
      </c>
      <c r="L46" s="14">
        <f t="shared" si="5"/>
        <v>16999.999999999996</v>
      </c>
      <c r="M46" s="14">
        <f t="shared" si="6"/>
        <v>9247.2916666668552</v>
      </c>
      <c r="N46" s="11">
        <f t="shared" si="7"/>
        <v>1.9999999999999997E-2</v>
      </c>
      <c r="O46" s="14">
        <f t="shared" si="8"/>
        <v>26247.291666666853</v>
      </c>
    </row>
    <row r="47" spans="1:15" x14ac:dyDescent="0.2">
      <c r="A47" s="2">
        <v>35</v>
      </c>
      <c r="B47" s="9">
        <f t="shared" si="2"/>
        <v>2</v>
      </c>
      <c r="C47" s="4">
        <f t="shared" si="9"/>
        <v>800416.66666666802</v>
      </c>
      <c r="D47" s="5">
        <f t="shared" si="3"/>
        <v>2334.5486111111154</v>
      </c>
      <c r="E47" s="6">
        <f t="shared" si="4"/>
        <v>1416.6666666666667</v>
      </c>
      <c r="F47" s="10"/>
      <c r="G47" s="4"/>
      <c r="H47" s="6"/>
      <c r="K47" s="2">
        <v>35</v>
      </c>
      <c r="L47" s="14">
        <f t="shared" si="5"/>
        <v>16999.999999999996</v>
      </c>
      <c r="M47" s="14">
        <f t="shared" si="6"/>
        <v>8652.2916666668571</v>
      </c>
      <c r="N47" s="11">
        <f t="shared" si="7"/>
        <v>1.9999999999999997E-2</v>
      </c>
      <c r="O47" s="14">
        <f t="shared" si="8"/>
        <v>25652.291666666853</v>
      </c>
    </row>
    <row r="48" spans="1:15" x14ac:dyDescent="0.2">
      <c r="A48" s="2">
        <v>36</v>
      </c>
      <c r="B48" s="9">
        <f t="shared" si="2"/>
        <v>3</v>
      </c>
      <c r="C48" s="4">
        <f t="shared" si="9"/>
        <v>799000.0000000014</v>
      </c>
      <c r="D48" s="5">
        <f t="shared" si="3"/>
        <v>2330.4166666666711</v>
      </c>
      <c r="E48" s="6">
        <f t="shared" si="4"/>
        <v>1416.6666666666667</v>
      </c>
      <c r="F48" s="10"/>
      <c r="G48" s="4"/>
      <c r="H48" s="6"/>
      <c r="K48" s="2">
        <v>36</v>
      </c>
      <c r="L48" s="14">
        <f t="shared" si="5"/>
        <v>16999.999999999996</v>
      </c>
      <c r="M48" s="14">
        <f t="shared" si="6"/>
        <v>8057.2916666668607</v>
      </c>
      <c r="N48" s="11">
        <f t="shared" si="7"/>
        <v>1.9999999999999997E-2</v>
      </c>
      <c r="O48" s="14">
        <f t="shared" si="8"/>
        <v>25057.291666666857</v>
      </c>
    </row>
    <row r="49" spans="1:15" x14ac:dyDescent="0.2">
      <c r="A49" s="2">
        <v>37</v>
      </c>
      <c r="B49" s="9">
        <f t="shared" si="2"/>
        <v>3</v>
      </c>
      <c r="C49" s="4">
        <f t="shared" si="9"/>
        <v>797583.33333333477</v>
      </c>
      <c r="D49" s="5">
        <f t="shared" si="3"/>
        <v>2326.2847222222267</v>
      </c>
      <c r="E49" s="6">
        <f t="shared" si="4"/>
        <v>1416.6666666666667</v>
      </c>
      <c r="F49" s="10"/>
      <c r="G49" s="4"/>
      <c r="H49" s="6"/>
      <c r="K49" s="2">
        <v>37</v>
      </c>
      <c r="L49" s="14">
        <f t="shared" si="5"/>
        <v>16999.999999999996</v>
      </c>
      <c r="M49" s="14">
        <f t="shared" si="6"/>
        <v>7462.2916666668652</v>
      </c>
      <c r="N49" s="11">
        <f t="shared" si="7"/>
        <v>1.9999999999999997E-2</v>
      </c>
      <c r="O49" s="14">
        <f t="shared" si="8"/>
        <v>24462.291666666861</v>
      </c>
    </row>
    <row r="50" spans="1:15" x14ac:dyDescent="0.2">
      <c r="A50" s="2">
        <v>38</v>
      </c>
      <c r="B50" s="9">
        <f t="shared" si="2"/>
        <v>3</v>
      </c>
      <c r="C50" s="4">
        <f t="shared" si="9"/>
        <v>796166.66666666814</v>
      </c>
      <c r="D50" s="5">
        <f t="shared" si="3"/>
        <v>2322.1527777777824</v>
      </c>
      <c r="E50" s="6">
        <f t="shared" si="4"/>
        <v>1416.6666666666667</v>
      </c>
      <c r="F50" s="10"/>
      <c r="G50" s="4"/>
      <c r="H50" s="6"/>
      <c r="K50" s="2">
        <v>38</v>
      </c>
      <c r="L50" s="14">
        <f t="shared" si="5"/>
        <v>16999.999999999996</v>
      </c>
      <c r="M50" s="14">
        <f t="shared" si="6"/>
        <v>6867.2916666668698</v>
      </c>
      <c r="N50" s="11">
        <f t="shared" si="7"/>
        <v>1.9999999999999997E-2</v>
      </c>
      <c r="O50" s="14">
        <f t="shared" si="8"/>
        <v>23867.291666666868</v>
      </c>
    </row>
    <row r="51" spans="1:15" x14ac:dyDescent="0.2">
      <c r="A51" s="2">
        <v>39</v>
      </c>
      <c r="B51" s="9">
        <f t="shared" si="2"/>
        <v>3</v>
      </c>
      <c r="C51" s="4">
        <f t="shared" si="9"/>
        <v>794750.00000000151</v>
      </c>
      <c r="D51" s="5">
        <f t="shared" si="3"/>
        <v>2318.020833333338</v>
      </c>
      <c r="E51" s="6">
        <f t="shared" si="4"/>
        <v>1416.6666666666667</v>
      </c>
      <c r="F51" s="10"/>
      <c r="G51" s="4"/>
      <c r="H51" s="6"/>
      <c r="K51" s="2">
        <v>39</v>
      </c>
      <c r="L51" s="14">
        <f t="shared" si="5"/>
        <v>16999.999999999996</v>
      </c>
      <c r="M51" s="14">
        <f t="shared" si="6"/>
        <v>6272.2916666668734</v>
      </c>
      <c r="N51" s="11">
        <f t="shared" si="7"/>
        <v>1.9999999999999997E-2</v>
      </c>
      <c r="O51" s="14">
        <f t="shared" si="8"/>
        <v>23272.291666666868</v>
      </c>
    </row>
    <row r="52" spans="1:15" x14ac:dyDescent="0.2">
      <c r="A52" s="2">
        <v>40</v>
      </c>
      <c r="B52" s="9">
        <f t="shared" si="2"/>
        <v>3</v>
      </c>
      <c r="C52" s="4">
        <f t="shared" si="9"/>
        <v>793333.33333333489</v>
      </c>
      <c r="D52" s="5">
        <f t="shared" si="3"/>
        <v>2313.8888888888937</v>
      </c>
      <c r="E52" s="6">
        <f t="shared" si="4"/>
        <v>1416.6666666666667</v>
      </c>
      <c r="F52" s="10"/>
      <c r="G52" s="4"/>
      <c r="H52" s="6"/>
      <c r="K52" s="2">
        <v>40</v>
      </c>
      <c r="L52" s="14">
        <f t="shared" si="5"/>
        <v>16999.999999999996</v>
      </c>
      <c r="M52" s="14">
        <f t="shared" si="6"/>
        <v>5677.2916666668771</v>
      </c>
      <c r="N52" s="11">
        <f t="shared" si="7"/>
        <v>1.9999999999999997E-2</v>
      </c>
      <c r="O52" s="14">
        <f t="shared" si="8"/>
        <v>22677.291666666875</v>
      </c>
    </row>
    <row r="53" spans="1:15" x14ac:dyDescent="0.2">
      <c r="A53" s="2">
        <v>41</v>
      </c>
      <c r="B53" s="9">
        <f t="shared" si="2"/>
        <v>3</v>
      </c>
      <c r="C53" s="4">
        <f t="shared" si="9"/>
        <v>791916.66666666826</v>
      </c>
      <c r="D53" s="5">
        <f t="shared" si="3"/>
        <v>2309.7569444444493</v>
      </c>
      <c r="E53" s="6">
        <f t="shared" si="4"/>
        <v>1416.6666666666667</v>
      </c>
      <c r="F53" s="10"/>
      <c r="G53" s="4"/>
      <c r="H53" s="6"/>
      <c r="K53" s="2">
        <v>41</v>
      </c>
      <c r="L53" s="14">
        <f t="shared" si="5"/>
        <v>16999.999999999996</v>
      </c>
      <c r="M53" s="14">
        <f t="shared" si="6"/>
        <v>5082.2916666668816</v>
      </c>
      <c r="N53" s="11">
        <f t="shared" si="7"/>
        <v>1.9999999999999997E-2</v>
      </c>
      <c r="O53" s="14">
        <f t="shared" si="8"/>
        <v>22082.291666666879</v>
      </c>
    </row>
    <row r="54" spans="1:15" x14ac:dyDescent="0.2">
      <c r="A54" s="2">
        <v>42</v>
      </c>
      <c r="B54" s="9">
        <f t="shared" si="2"/>
        <v>3</v>
      </c>
      <c r="C54" s="4">
        <f t="shared" si="9"/>
        <v>790500.00000000163</v>
      </c>
      <c r="D54" s="5">
        <f t="shared" si="3"/>
        <v>2305.625000000005</v>
      </c>
      <c r="E54" s="6">
        <f t="shared" si="4"/>
        <v>1416.6666666666667</v>
      </c>
      <c r="F54" s="10"/>
      <c r="G54" s="4"/>
      <c r="H54" s="6"/>
      <c r="K54" s="2">
        <v>42</v>
      </c>
      <c r="L54" s="14">
        <f t="shared" si="5"/>
        <v>16999.999999999996</v>
      </c>
      <c r="M54" s="14">
        <f t="shared" si="6"/>
        <v>4487.2916666668834</v>
      </c>
      <c r="N54" s="11">
        <f t="shared" si="7"/>
        <v>1.9999999999999997E-2</v>
      </c>
      <c r="O54" s="14">
        <f t="shared" si="8"/>
        <v>21487.291666666879</v>
      </c>
    </row>
    <row r="55" spans="1:15" x14ac:dyDescent="0.2">
      <c r="A55" s="2">
        <v>43</v>
      </c>
      <c r="B55" s="9">
        <f t="shared" si="2"/>
        <v>3</v>
      </c>
      <c r="C55" s="4">
        <f t="shared" si="9"/>
        <v>789083.333333335</v>
      </c>
      <c r="D55" s="5">
        <f t="shared" si="3"/>
        <v>2301.4930555555607</v>
      </c>
      <c r="E55" s="6">
        <f t="shared" si="4"/>
        <v>1416.6666666666667</v>
      </c>
      <c r="F55" s="10"/>
      <c r="G55" s="4"/>
      <c r="H55" s="6"/>
      <c r="K55" s="2">
        <v>43</v>
      </c>
      <c r="L55" s="14">
        <f t="shared" si="5"/>
        <v>16999.999999999996</v>
      </c>
      <c r="M55" s="14">
        <f t="shared" si="6"/>
        <v>3892.2916666668812</v>
      </c>
      <c r="N55" s="11">
        <f t="shared" si="7"/>
        <v>1.9999999999999997E-2</v>
      </c>
      <c r="O55" s="14">
        <f t="shared" si="8"/>
        <v>20892.291666666879</v>
      </c>
    </row>
    <row r="56" spans="1:15" x14ac:dyDescent="0.2">
      <c r="A56" s="2">
        <v>44</v>
      </c>
      <c r="B56" s="9">
        <f t="shared" si="2"/>
        <v>3</v>
      </c>
      <c r="C56" s="4">
        <f t="shared" si="9"/>
        <v>787666.66666666837</v>
      </c>
      <c r="D56" s="5">
        <f t="shared" si="3"/>
        <v>2297.3611111111163</v>
      </c>
      <c r="E56" s="6">
        <f t="shared" si="4"/>
        <v>1416.6666666666667</v>
      </c>
      <c r="F56" s="10"/>
      <c r="G56" s="4"/>
      <c r="H56" s="6"/>
      <c r="K56" s="2">
        <v>44</v>
      </c>
      <c r="L56" s="14">
        <f t="shared" si="5"/>
        <v>16999.999999999996</v>
      </c>
      <c r="M56" s="14">
        <f t="shared" si="6"/>
        <v>3297.2916666668793</v>
      </c>
      <c r="N56" s="11">
        <f t="shared" si="7"/>
        <v>1.9999999999999997E-2</v>
      </c>
      <c r="O56" s="14">
        <f t="shared" si="8"/>
        <v>20297.291666666875</v>
      </c>
    </row>
    <row r="57" spans="1:15" x14ac:dyDescent="0.2">
      <c r="A57" s="2">
        <v>45</v>
      </c>
      <c r="B57" s="9">
        <f t="shared" si="2"/>
        <v>3</v>
      </c>
      <c r="C57" s="4">
        <f t="shared" si="9"/>
        <v>786250.00000000175</v>
      </c>
      <c r="D57" s="5">
        <f t="shared" si="3"/>
        <v>2293.229166666672</v>
      </c>
      <c r="E57" s="6">
        <f t="shared" si="4"/>
        <v>1416.6666666666667</v>
      </c>
      <c r="F57" s="10"/>
      <c r="G57" s="4"/>
      <c r="H57" s="6"/>
      <c r="K57" s="2">
        <v>45</v>
      </c>
      <c r="L57" s="14">
        <f t="shared" si="5"/>
        <v>16999.999999999996</v>
      </c>
      <c r="M57" s="14">
        <f t="shared" si="6"/>
        <v>2702.2916666668775</v>
      </c>
      <c r="N57" s="11">
        <f t="shared" si="7"/>
        <v>1.9999999999999997E-2</v>
      </c>
      <c r="O57" s="14">
        <f t="shared" si="8"/>
        <v>19702.291666666875</v>
      </c>
    </row>
    <row r="58" spans="1:15" x14ac:dyDescent="0.2">
      <c r="A58" s="2">
        <v>46</v>
      </c>
      <c r="B58" s="9">
        <f t="shared" si="2"/>
        <v>3</v>
      </c>
      <c r="C58" s="4">
        <f t="shared" si="9"/>
        <v>784833.33333333512</v>
      </c>
      <c r="D58" s="5">
        <f t="shared" si="3"/>
        <v>2289.0972222222276</v>
      </c>
      <c r="E58" s="6">
        <f t="shared" si="4"/>
        <v>1416.6666666666667</v>
      </c>
      <c r="F58" s="10"/>
      <c r="G58" s="4"/>
      <c r="H58" s="6"/>
      <c r="K58" s="2">
        <v>46</v>
      </c>
      <c r="L58" s="14">
        <f t="shared" si="5"/>
        <v>16999.999999999996</v>
      </c>
      <c r="M58" s="14">
        <f t="shared" si="6"/>
        <v>2107.2916666668766</v>
      </c>
      <c r="N58" s="11">
        <f t="shared" si="7"/>
        <v>1.9999999999999997E-2</v>
      </c>
      <c r="O58" s="14">
        <f t="shared" si="8"/>
        <v>19107.291666666872</v>
      </c>
    </row>
    <row r="59" spans="1:15" x14ac:dyDescent="0.2">
      <c r="A59" s="2">
        <v>47</v>
      </c>
      <c r="B59" s="9">
        <f t="shared" si="2"/>
        <v>3</v>
      </c>
      <c r="C59" s="4">
        <f t="shared" si="9"/>
        <v>783416.66666666849</v>
      </c>
      <c r="D59" s="5">
        <f t="shared" si="3"/>
        <v>2284.9652777777833</v>
      </c>
      <c r="E59" s="6">
        <f t="shared" si="4"/>
        <v>1416.6666666666667</v>
      </c>
      <c r="F59" s="10"/>
      <c r="G59" s="4"/>
      <c r="H59" s="6"/>
      <c r="K59" s="2">
        <v>47</v>
      </c>
      <c r="L59" s="14">
        <f t="shared" si="5"/>
        <v>16999.999999999996</v>
      </c>
      <c r="M59" s="14">
        <f t="shared" si="6"/>
        <v>1512.2916666668775</v>
      </c>
      <c r="N59" s="11">
        <f t="shared" si="7"/>
        <v>1.9999999999999997E-2</v>
      </c>
      <c r="O59" s="14">
        <f t="shared" si="8"/>
        <v>18512.291666666875</v>
      </c>
    </row>
    <row r="60" spans="1:15" x14ac:dyDescent="0.2">
      <c r="A60" s="2">
        <v>48</v>
      </c>
      <c r="B60" s="9">
        <f t="shared" si="2"/>
        <v>4</v>
      </c>
      <c r="C60" s="4">
        <f t="shared" si="9"/>
        <v>782000.00000000186</v>
      </c>
      <c r="D60" s="5">
        <f t="shared" si="3"/>
        <v>2280.8333333333389</v>
      </c>
      <c r="E60" s="6">
        <f t="shared" si="4"/>
        <v>1416.6666666666667</v>
      </c>
      <c r="F60" s="10"/>
      <c r="G60" s="4"/>
      <c r="H60" s="6"/>
      <c r="K60" s="2">
        <v>48</v>
      </c>
      <c r="L60" s="14">
        <f t="shared" si="5"/>
        <v>16999.999999999996</v>
      </c>
      <c r="M60" s="14">
        <f t="shared" si="6"/>
        <v>917.29166666687775</v>
      </c>
      <c r="N60" s="11">
        <f t="shared" si="7"/>
        <v>1.9999999999999997E-2</v>
      </c>
      <c r="O60" s="14">
        <f t="shared" si="8"/>
        <v>17917.291666666875</v>
      </c>
    </row>
    <row r="61" spans="1:15" x14ac:dyDescent="0.2">
      <c r="A61" s="2">
        <v>49</v>
      </c>
      <c r="B61" s="9">
        <f t="shared" si="2"/>
        <v>4</v>
      </c>
      <c r="C61" s="4">
        <f t="shared" si="9"/>
        <v>780583.33333333523</v>
      </c>
      <c r="D61" s="5">
        <f t="shared" si="3"/>
        <v>2276.7013888888946</v>
      </c>
      <c r="E61" s="6">
        <f t="shared" si="4"/>
        <v>1416.6666666666667</v>
      </c>
      <c r="F61" s="10"/>
      <c r="G61" s="4"/>
      <c r="H61" s="6"/>
      <c r="K61" s="2">
        <v>49</v>
      </c>
      <c r="L61" s="14">
        <f t="shared" si="5"/>
        <v>16999.999999999996</v>
      </c>
      <c r="M61" s="14">
        <f t="shared" si="6"/>
        <v>322.29166666687735</v>
      </c>
      <c r="N61" s="11">
        <f t="shared" si="7"/>
        <v>1.9999999999999997E-2</v>
      </c>
      <c r="O61" s="14">
        <f t="shared" si="8"/>
        <v>17322.291666666875</v>
      </c>
    </row>
    <row r="62" spans="1:15" x14ac:dyDescent="0.2">
      <c r="A62" s="2">
        <v>50</v>
      </c>
      <c r="B62" s="9">
        <f t="shared" si="2"/>
        <v>4</v>
      </c>
      <c r="C62" s="4">
        <f t="shared" si="9"/>
        <v>779166.66666666861</v>
      </c>
      <c r="D62" s="5">
        <f t="shared" si="3"/>
        <v>2272.5694444444503</v>
      </c>
      <c r="E62" s="6">
        <f t="shared" si="4"/>
        <v>1416.6666666666667</v>
      </c>
      <c r="F62" s="10"/>
      <c r="G62" s="4"/>
      <c r="H62" s="6"/>
      <c r="L62" s="14">
        <f>SUM(L12:L61)</f>
        <v>849999.99999999988</v>
      </c>
      <c r="M62" s="14">
        <f>SUM(M12:M61)</f>
        <v>744989.58333334315</v>
      </c>
      <c r="N62" s="11">
        <f>SUM(N12:N61)</f>
        <v>1.0000000000000004</v>
      </c>
      <c r="O62" s="15">
        <f>L62+M62</f>
        <v>1594989.583333343</v>
      </c>
    </row>
    <row r="63" spans="1:15" x14ac:dyDescent="0.2">
      <c r="A63" s="2">
        <v>51</v>
      </c>
      <c r="B63" s="9">
        <f t="shared" si="2"/>
        <v>4</v>
      </c>
      <c r="C63" s="4">
        <f t="shared" si="9"/>
        <v>777750.00000000198</v>
      </c>
      <c r="D63" s="5">
        <f t="shared" si="3"/>
        <v>2268.4375000000059</v>
      </c>
      <c r="E63" s="6">
        <f t="shared" si="4"/>
        <v>1416.6666666666667</v>
      </c>
      <c r="F63" s="10"/>
      <c r="G63" s="4"/>
      <c r="H63" s="6"/>
    </row>
    <row r="64" spans="1:15" x14ac:dyDescent="0.2">
      <c r="A64" s="2">
        <v>52</v>
      </c>
      <c r="B64" s="9">
        <f t="shared" si="2"/>
        <v>4</v>
      </c>
      <c r="C64" s="4">
        <f t="shared" si="9"/>
        <v>776333.33333333535</v>
      </c>
      <c r="D64" s="5">
        <f t="shared" si="3"/>
        <v>2264.3055555555616</v>
      </c>
      <c r="E64" s="6">
        <f t="shared" si="4"/>
        <v>1416.6666666666667</v>
      </c>
      <c r="F64" s="10"/>
      <c r="G64" s="4"/>
      <c r="H64" s="6"/>
    </row>
    <row r="65" spans="1:8" x14ac:dyDescent="0.2">
      <c r="A65" s="2">
        <v>53</v>
      </c>
      <c r="B65" s="9">
        <f t="shared" si="2"/>
        <v>4</v>
      </c>
      <c r="C65" s="4">
        <f t="shared" si="9"/>
        <v>774916.66666666872</v>
      </c>
      <c r="D65" s="5">
        <f t="shared" si="3"/>
        <v>2260.1736111111172</v>
      </c>
      <c r="E65" s="6">
        <f t="shared" si="4"/>
        <v>1416.6666666666667</v>
      </c>
      <c r="F65" s="10"/>
      <c r="G65" s="4"/>
      <c r="H65" s="6"/>
    </row>
    <row r="66" spans="1:8" x14ac:dyDescent="0.2">
      <c r="A66" s="2">
        <v>54</v>
      </c>
      <c r="B66" s="9">
        <f t="shared" si="2"/>
        <v>4</v>
      </c>
      <c r="C66" s="4">
        <f t="shared" si="9"/>
        <v>773500.0000000021</v>
      </c>
      <c r="D66" s="5">
        <f t="shared" si="3"/>
        <v>2256.0416666666729</v>
      </c>
      <c r="E66" s="6">
        <f t="shared" si="4"/>
        <v>1416.6666666666667</v>
      </c>
      <c r="F66" s="10"/>
      <c r="G66" s="4"/>
      <c r="H66" s="6"/>
    </row>
    <row r="67" spans="1:8" x14ac:dyDescent="0.2">
      <c r="A67" s="2">
        <v>55</v>
      </c>
      <c r="B67" s="9">
        <f t="shared" si="2"/>
        <v>4</v>
      </c>
      <c r="C67" s="4">
        <f t="shared" si="9"/>
        <v>772083.33333333547</v>
      </c>
      <c r="D67" s="5">
        <f t="shared" si="3"/>
        <v>2251.9097222222285</v>
      </c>
      <c r="E67" s="6">
        <f t="shared" si="4"/>
        <v>1416.6666666666667</v>
      </c>
      <c r="F67" s="10"/>
      <c r="G67" s="4"/>
      <c r="H67" s="6"/>
    </row>
    <row r="68" spans="1:8" x14ac:dyDescent="0.2">
      <c r="A68" s="2">
        <v>56</v>
      </c>
      <c r="B68" s="9">
        <f t="shared" si="2"/>
        <v>4</v>
      </c>
      <c r="C68" s="4">
        <f t="shared" si="9"/>
        <v>770666.66666666884</v>
      </c>
      <c r="D68" s="5">
        <f t="shared" si="3"/>
        <v>2247.7777777777842</v>
      </c>
      <c r="E68" s="6">
        <f t="shared" si="4"/>
        <v>1416.6666666666667</v>
      </c>
      <c r="F68" s="10"/>
      <c r="G68" s="4"/>
      <c r="H68" s="6"/>
    </row>
    <row r="69" spans="1:8" x14ac:dyDescent="0.2">
      <c r="A69" s="2">
        <v>57</v>
      </c>
      <c r="B69" s="9">
        <f t="shared" si="2"/>
        <v>4</v>
      </c>
      <c r="C69" s="4">
        <f t="shared" si="9"/>
        <v>769250.00000000221</v>
      </c>
      <c r="D69" s="5">
        <f t="shared" si="3"/>
        <v>2243.6458333333399</v>
      </c>
      <c r="E69" s="6">
        <f t="shared" si="4"/>
        <v>1416.6666666666667</v>
      </c>
      <c r="F69" s="10"/>
      <c r="G69" s="4"/>
      <c r="H69" s="6"/>
    </row>
    <row r="70" spans="1:8" x14ac:dyDescent="0.2">
      <c r="A70" s="2">
        <v>58</v>
      </c>
      <c r="B70" s="9">
        <f t="shared" si="2"/>
        <v>4</v>
      </c>
      <c r="C70" s="4">
        <f t="shared" si="9"/>
        <v>767833.33333333558</v>
      </c>
      <c r="D70" s="5">
        <f t="shared" si="3"/>
        <v>2239.5138888888955</v>
      </c>
      <c r="E70" s="6">
        <f t="shared" si="4"/>
        <v>1416.6666666666667</v>
      </c>
      <c r="F70" s="10"/>
      <c r="G70" s="4"/>
      <c r="H70" s="6"/>
    </row>
    <row r="71" spans="1:8" x14ac:dyDescent="0.2">
      <c r="A71" s="2">
        <v>59</v>
      </c>
      <c r="B71" s="9">
        <f t="shared" si="2"/>
        <v>4</v>
      </c>
      <c r="C71" s="4">
        <f t="shared" si="9"/>
        <v>766416.66666666896</v>
      </c>
      <c r="D71" s="5">
        <f t="shared" si="3"/>
        <v>2235.3819444444512</v>
      </c>
      <c r="E71" s="6">
        <f t="shared" si="4"/>
        <v>1416.6666666666667</v>
      </c>
      <c r="F71" s="10"/>
      <c r="G71" s="4"/>
      <c r="H71" s="6"/>
    </row>
    <row r="72" spans="1:8" x14ac:dyDescent="0.2">
      <c r="A72" s="2">
        <v>60</v>
      </c>
      <c r="B72" s="9">
        <f t="shared" si="2"/>
        <v>5</v>
      </c>
      <c r="C72" s="4">
        <f t="shared" si="9"/>
        <v>765000.00000000233</v>
      </c>
      <c r="D72" s="5">
        <f t="shared" si="3"/>
        <v>2231.2500000000068</v>
      </c>
      <c r="E72" s="6">
        <f t="shared" si="4"/>
        <v>1416.6666666666667</v>
      </c>
      <c r="F72" s="10"/>
      <c r="G72" s="4"/>
      <c r="H72" s="6"/>
    </row>
    <row r="73" spans="1:8" x14ac:dyDescent="0.2">
      <c r="A73" s="2">
        <v>61</v>
      </c>
      <c r="B73" s="9">
        <f t="shared" si="2"/>
        <v>5</v>
      </c>
      <c r="C73" s="4">
        <f t="shared" si="9"/>
        <v>763583.3333333357</v>
      </c>
      <c r="D73" s="5">
        <f t="shared" si="3"/>
        <v>2227.1180555555625</v>
      </c>
      <c r="E73" s="6">
        <f t="shared" si="4"/>
        <v>1416.6666666666667</v>
      </c>
      <c r="F73" s="10"/>
      <c r="G73" s="4"/>
      <c r="H73" s="6"/>
    </row>
    <row r="74" spans="1:8" x14ac:dyDescent="0.2">
      <c r="A74" s="2">
        <v>62</v>
      </c>
      <c r="B74" s="9">
        <f t="shared" si="2"/>
        <v>5</v>
      </c>
      <c r="C74" s="4">
        <f t="shared" si="9"/>
        <v>762166.66666666907</v>
      </c>
      <c r="D74" s="5">
        <f t="shared" si="3"/>
        <v>2222.9861111111181</v>
      </c>
      <c r="E74" s="6">
        <f t="shared" si="4"/>
        <v>1416.6666666666667</v>
      </c>
      <c r="F74" s="10"/>
      <c r="G74" s="4"/>
      <c r="H74" s="6"/>
    </row>
    <row r="75" spans="1:8" x14ac:dyDescent="0.2">
      <c r="A75" s="2">
        <v>63</v>
      </c>
      <c r="B75" s="9">
        <f t="shared" si="2"/>
        <v>5</v>
      </c>
      <c r="C75" s="4">
        <f t="shared" si="9"/>
        <v>760750.00000000244</v>
      </c>
      <c r="D75" s="5">
        <f t="shared" si="3"/>
        <v>2218.8541666666738</v>
      </c>
      <c r="E75" s="6">
        <f t="shared" si="4"/>
        <v>1416.6666666666667</v>
      </c>
      <c r="F75" s="10"/>
      <c r="G75" s="4"/>
      <c r="H75" s="6"/>
    </row>
    <row r="76" spans="1:8" x14ac:dyDescent="0.2">
      <c r="A76" s="2">
        <v>64</v>
      </c>
      <c r="B76" s="9">
        <f t="shared" ref="B76:B139" si="10">ROUNDDOWN(A76/$B$4,0)</f>
        <v>5</v>
      </c>
      <c r="C76" s="4">
        <f t="shared" si="9"/>
        <v>759333.33333333582</v>
      </c>
      <c r="D76" s="5">
        <f t="shared" si="3"/>
        <v>2214.7222222222294</v>
      </c>
      <c r="E76" s="6">
        <f t="shared" si="4"/>
        <v>1416.6666666666667</v>
      </c>
      <c r="F76" s="10"/>
      <c r="G76" s="4"/>
      <c r="H76" s="6"/>
    </row>
    <row r="77" spans="1:8" x14ac:dyDescent="0.2">
      <c r="A77" s="2">
        <v>65</v>
      </c>
      <c r="B77" s="9">
        <f t="shared" si="10"/>
        <v>5</v>
      </c>
      <c r="C77" s="4">
        <f t="shared" si="9"/>
        <v>757916.66666666919</v>
      </c>
      <c r="D77" s="5">
        <f t="shared" ref="D77:D140" si="11">$B$2*C77/$B$4</f>
        <v>2210.5902777777851</v>
      </c>
      <c r="E77" s="6">
        <f t="shared" ref="E77:E140" si="12">$B$7</f>
        <v>1416.6666666666667</v>
      </c>
      <c r="F77" s="10"/>
      <c r="G77" s="4"/>
      <c r="H77" s="6"/>
    </row>
    <row r="78" spans="1:8" x14ac:dyDescent="0.2">
      <c r="A78" s="2">
        <v>66</v>
      </c>
      <c r="B78" s="9">
        <f t="shared" si="10"/>
        <v>5</v>
      </c>
      <c r="C78" s="4">
        <f t="shared" ref="C78:C141" si="13">C77-E77</f>
        <v>756500.00000000256</v>
      </c>
      <c r="D78" s="5">
        <f t="shared" si="11"/>
        <v>2206.4583333333408</v>
      </c>
      <c r="E78" s="6">
        <f t="shared" si="12"/>
        <v>1416.6666666666667</v>
      </c>
      <c r="F78" s="10"/>
      <c r="G78" s="4"/>
      <c r="H78" s="6"/>
    </row>
    <row r="79" spans="1:8" x14ac:dyDescent="0.2">
      <c r="A79" s="2">
        <v>67</v>
      </c>
      <c r="B79" s="9">
        <f t="shared" si="10"/>
        <v>5</v>
      </c>
      <c r="C79" s="4">
        <f t="shared" si="13"/>
        <v>755083.33333333593</v>
      </c>
      <c r="D79" s="5">
        <f t="shared" si="11"/>
        <v>2202.3263888888964</v>
      </c>
      <c r="E79" s="6">
        <f t="shared" si="12"/>
        <v>1416.6666666666667</v>
      </c>
      <c r="F79" s="10"/>
      <c r="G79" s="4"/>
      <c r="H79" s="6"/>
    </row>
    <row r="80" spans="1:8" x14ac:dyDescent="0.2">
      <c r="A80" s="2">
        <v>68</v>
      </c>
      <c r="B80" s="9">
        <f t="shared" si="10"/>
        <v>5</v>
      </c>
      <c r="C80" s="4">
        <f t="shared" si="13"/>
        <v>753666.66666666931</v>
      </c>
      <c r="D80" s="5">
        <f t="shared" si="11"/>
        <v>2198.1944444444521</v>
      </c>
      <c r="E80" s="6">
        <f t="shared" si="12"/>
        <v>1416.6666666666667</v>
      </c>
      <c r="F80" s="10"/>
      <c r="G80" s="4"/>
      <c r="H80" s="6"/>
    </row>
    <row r="81" spans="1:8" x14ac:dyDescent="0.2">
      <c r="A81" s="2">
        <v>69</v>
      </c>
      <c r="B81" s="9">
        <f t="shared" si="10"/>
        <v>5</v>
      </c>
      <c r="C81" s="4">
        <f t="shared" si="13"/>
        <v>752250.00000000268</v>
      </c>
      <c r="D81" s="5">
        <f t="shared" si="11"/>
        <v>2194.0625000000077</v>
      </c>
      <c r="E81" s="6">
        <f t="shared" si="12"/>
        <v>1416.6666666666667</v>
      </c>
      <c r="F81" s="10"/>
      <c r="G81" s="4"/>
      <c r="H81" s="6"/>
    </row>
    <row r="82" spans="1:8" x14ac:dyDescent="0.2">
      <c r="A82" s="2">
        <v>70</v>
      </c>
      <c r="B82" s="9">
        <f t="shared" si="10"/>
        <v>5</v>
      </c>
      <c r="C82" s="4">
        <f t="shared" si="13"/>
        <v>750833.33333333605</v>
      </c>
      <c r="D82" s="5">
        <f t="shared" si="11"/>
        <v>2189.9305555555634</v>
      </c>
      <c r="E82" s="6">
        <f t="shared" si="12"/>
        <v>1416.6666666666667</v>
      </c>
      <c r="F82" s="10"/>
      <c r="G82" s="4"/>
      <c r="H82" s="6"/>
    </row>
    <row r="83" spans="1:8" x14ac:dyDescent="0.2">
      <c r="A83" s="2">
        <v>71</v>
      </c>
      <c r="B83" s="9">
        <f t="shared" si="10"/>
        <v>5</v>
      </c>
      <c r="C83" s="4">
        <f t="shared" si="13"/>
        <v>749416.66666666942</v>
      </c>
      <c r="D83" s="5">
        <f t="shared" si="11"/>
        <v>2185.7986111111195</v>
      </c>
      <c r="E83" s="6">
        <f t="shared" si="12"/>
        <v>1416.6666666666667</v>
      </c>
      <c r="F83" s="10"/>
      <c r="G83" s="4"/>
      <c r="H83" s="6"/>
    </row>
    <row r="84" spans="1:8" x14ac:dyDescent="0.2">
      <c r="A84" s="2">
        <v>72</v>
      </c>
      <c r="B84" s="9">
        <f t="shared" si="10"/>
        <v>6</v>
      </c>
      <c r="C84" s="4">
        <f t="shared" si="13"/>
        <v>748000.00000000279</v>
      </c>
      <c r="D84" s="5">
        <f t="shared" si="11"/>
        <v>2181.6666666666752</v>
      </c>
      <c r="E84" s="6">
        <f t="shared" si="12"/>
        <v>1416.6666666666667</v>
      </c>
      <c r="F84" s="10"/>
      <c r="G84" s="4"/>
      <c r="H84" s="6"/>
    </row>
    <row r="85" spans="1:8" x14ac:dyDescent="0.2">
      <c r="A85" s="2">
        <v>73</v>
      </c>
      <c r="B85" s="9">
        <f t="shared" si="10"/>
        <v>6</v>
      </c>
      <c r="C85" s="4">
        <f t="shared" si="13"/>
        <v>746583.33333333617</v>
      </c>
      <c r="D85" s="5">
        <f t="shared" si="11"/>
        <v>2177.5347222222308</v>
      </c>
      <c r="E85" s="6">
        <f t="shared" si="12"/>
        <v>1416.6666666666667</v>
      </c>
      <c r="F85" s="10"/>
      <c r="G85" s="4"/>
      <c r="H85" s="6"/>
    </row>
    <row r="86" spans="1:8" x14ac:dyDescent="0.2">
      <c r="A86" s="2">
        <v>74</v>
      </c>
      <c r="B86" s="9">
        <f t="shared" si="10"/>
        <v>6</v>
      </c>
      <c r="C86" s="4">
        <f t="shared" si="13"/>
        <v>745166.66666666954</v>
      </c>
      <c r="D86" s="5">
        <f t="shared" si="11"/>
        <v>2173.4027777777865</v>
      </c>
      <c r="E86" s="6">
        <f t="shared" si="12"/>
        <v>1416.6666666666667</v>
      </c>
      <c r="F86" s="10"/>
      <c r="G86" s="4"/>
      <c r="H86" s="6"/>
    </row>
    <row r="87" spans="1:8" x14ac:dyDescent="0.2">
      <c r="A87" s="2">
        <v>75</v>
      </c>
      <c r="B87" s="9">
        <f t="shared" si="10"/>
        <v>6</v>
      </c>
      <c r="C87" s="4">
        <f t="shared" si="13"/>
        <v>743750.00000000291</v>
      </c>
      <c r="D87" s="5">
        <f t="shared" si="11"/>
        <v>2169.2708333333421</v>
      </c>
      <c r="E87" s="6">
        <f t="shared" si="12"/>
        <v>1416.6666666666667</v>
      </c>
      <c r="F87" s="10"/>
      <c r="G87" s="4"/>
      <c r="H87" s="6"/>
    </row>
    <row r="88" spans="1:8" x14ac:dyDescent="0.2">
      <c r="A88" s="2">
        <v>76</v>
      </c>
      <c r="B88" s="9">
        <f t="shared" si="10"/>
        <v>6</v>
      </c>
      <c r="C88" s="4">
        <f t="shared" si="13"/>
        <v>742333.33333333628</v>
      </c>
      <c r="D88" s="5">
        <f t="shared" si="11"/>
        <v>2165.1388888888978</v>
      </c>
      <c r="E88" s="6">
        <f t="shared" si="12"/>
        <v>1416.6666666666667</v>
      </c>
      <c r="F88" s="10"/>
      <c r="G88" s="4"/>
      <c r="H88" s="6"/>
    </row>
    <row r="89" spans="1:8" x14ac:dyDescent="0.2">
      <c r="A89" s="2">
        <v>77</v>
      </c>
      <c r="B89" s="9">
        <f t="shared" si="10"/>
        <v>6</v>
      </c>
      <c r="C89" s="4">
        <f t="shared" si="13"/>
        <v>740916.66666666965</v>
      </c>
      <c r="D89" s="5">
        <f t="shared" si="11"/>
        <v>2161.0069444444534</v>
      </c>
      <c r="E89" s="6">
        <f t="shared" si="12"/>
        <v>1416.6666666666667</v>
      </c>
      <c r="F89" s="10"/>
      <c r="G89" s="4"/>
      <c r="H89" s="6"/>
    </row>
    <row r="90" spans="1:8" x14ac:dyDescent="0.2">
      <c r="A90" s="2">
        <v>78</v>
      </c>
      <c r="B90" s="9">
        <f t="shared" si="10"/>
        <v>6</v>
      </c>
      <c r="C90" s="4">
        <f t="shared" si="13"/>
        <v>739500.00000000303</v>
      </c>
      <c r="D90" s="5">
        <f t="shared" si="11"/>
        <v>2156.8750000000091</v>
      </c>
      <c r="E90" s="6">
        <f t="shared" si="12"/>
        <v>1416.6666666666667</v>
      </c>
      <c r="F90" s="10"/>
      <c r="G90" s="4"/>
      <c r="H90" s="6"/>
    </row>
    <row r="91" spans="1:8" x14ac:dyDescent="0.2">
      <c r="A91" s="2">
        <v>79</v>
      </c>
      <c r="B91" s="9">
        <f t="shared" si="10"/>
        <v>6</v>
      </c>
      <c r="C91" s="4">
        <f t="shared" si="13"/>
        <v>738083.3333333364</v>
      </c>
      <c r="D91" s="5">
        <f t="shared" si="11"/>
        <v>2152.7430555555648</v>
      </c>
      <c r="E91" s="6">
        <f t="shared" si="12"/>
        <v>1416.6666666666667</v>
      </c>
      <c r="F91" s="10"/>
      <c r="G91" s="4"/>
      <c r="H91" s="6"/>
    </row>
    <row r="92" spans="1:8" x14ac:dyDescent="0.2">
      <c r="A92" s="2">
        <v>80</v>
      </c>
      <c r="B92" s="9">
        <f t="shared" si="10"/>
        <v>6</v>
      </c>
      <c r="C92" s="4">
        <f t="shared" si="13"/>
        <v>736666.66666666977</v>
      </c>
      <c r="D92" s="5">
        <f t="shared" si="11"/>
        <v>2148.6111111111204</v>
      </c>
      <c r="E92" s="6">
        <f t="shared" si="12"/>
        <v>1416.6666666666667</v>
      </c>
      <c r="F92" s="10"/>
      <c r="G92" s="4"/>
      <c r="H92" s="6"/>
    </row>
    <row r="93" spans="1:8" x14ac:dyDescent="0.2">
      <c r="A93" s="2">
        <v>81</v>
      </c>
      <c r="B93" s="9">
        <f t="shared" si="10"/>
        <v>6</v>
      </c>
      <c r="C93" s="4">
        <f t="shared" si="13"/>
        <v>735250.00000000314</v>
      </c>
      <c r="D93" s="5">
        <f t="shared" si="11"/>
        <v>2144.4791666666761</v>
      </c>
      <c r="E93" s="6">
        <f t="shared" si="12"/>
        <v>1416.6666666666667</v>
      </c>
      <c r="F93" s="10"/>
      <c r="G93" s="4"/>
      <c r="H93" s="6"/>
    </row>
    <row r="94" spans="1:8" x14ac:dyDescent="0.2">
      <c r="A94" s="2">
        <v>82</v>
      </c>
      <c r="B94" s="9">
        <f t="shared" si="10"/>
        <v>6</v>
      </c>
      <c r="C94" s="4">
        <f t="shared" si="13"/>
        <v>733833.33333333652</v>
      </c>
      <c r="D94" s="5">
        <f t="shared" si="11"/>
        <v>2140.3472222222317</v>
      </c>
      <c r="E94" s="6">
        <f t="shared" si="12"/>
        <v>1416.6666666666667</v>
      </c>
      <c r="F94" s="10"/>
      <c r="G94" s="4"/>
      <c r="H94" s="6"/>
    </row>
    <row r="95" spans="1:8" x14ac:dyDescent="0.2">
      <c r="A95" s="2">
        <v>83</v>
      </c>
      <c r="B95" s="9">
        <f t="shared" si="10"/>
        <v>6</v>
      </c>
      <c r="C95" s="4">
        <f t="shared" si="13"/>
        <v>732416.66666666989</v>
      </c>
      <c r="D95" s="5">
        <f t="shared" si="11"/>
        <v>2136.2152777777874</v>
      </c>
      <c r="E95" s="6">
        <f t="shared" si="12"/>
        <v>1416.6666666666667</v>
      </c>
      <c r="F95" s="10"/>
      <c r="G95" s="4"/>
      <c r="H95" s="6"/>
    </row>
    <row r="96" spans="1:8" x14ac:dyDescent="0.2">
      <c r="A96" s="2">
        <v>84</v>
      </c>
      <c r="B96" s="9">
        <f t="shared" si="10"/>
        <v>7</v>
      </c>
      <c r="C96" s="4">
        <f t="shared" si="13"/>
        <v>731000.00000000326</v>
      </c>
      <c r="D96" s="5">
        <f t="shared" si="11"/>
        <v>2132.083333333343</v>
      </c>
      <c r="E96" s="6">
        <f t="shared" si="12"/>
        <v>1416.6666666666667</v>
      </c>
      <c r="F96" s="10"/>
      <c r="G96" s="4"/>
      <c r="H96" s="6"/>
    </row>
    <row r="97" spans="1:8" x14ac:dyDescent="0.2">
      <c r="A97" s="2">
        <v>85</v>
      </c>
      <c r="B97" s="9">
        <f t="shared" si="10"/>
        <v>7</v>
      </c>
      <c r="C97" s="4">
        <f t="shared" si="13"/>
        <v>729583.33333333663</v>
      </c>
      <c r="D97" s="5">
        <f t="shared" si="11"/>
        <v>2127.9513888888987</v>
      </c>
      <c r="E97" s="6">
        <f t="shared" si="12"/>
        <v>1416.6666666666667</v>
      </c>
      <c r="F97" s="10"/>
      <c r="G97" s="4"/>
      <c r="H97" s="6"/>
    </row>
    <row r="98" spans="1:8" x14ac:dyDescent="0.2">
      <c r="A98" s="2">
        <v>86</v>
      </c>
      <c r="B98" s="9">
        <f t="shared" si="10"/>
        <v>7</v>
      </c>
      <c r="C98" s="4">
        <f t="shared" si="13"/>
        <v>728166.66666667</v>
      </c>
      <c r="D98" s="5">
        <f t="shared" si="11"/>
        <v>2123.8194444444543</v>
      </c>
      <c r="E98" s="6">
        <f t="shared" si="12"/>
        <v>1416.6666666666667</v>
      </c>
      <c r="F98" s="10"/>
      <c r="G98" s="4"/>
      <c r="H98" s="6"/>
    </row>
    <row r="99" spans="1:8" x14ac:dyDescent="0.2">
      <c r="A99" s="2">
        <v>87</v>
      </c>
      <c r="B99" s="9">
        <f t="shared" si="10"/>
        <v>7</v>
      </c>
      <c r="C99" s="4">
        <f t="shared" si="13"/>
        <v>726750.00000000338</v>
      </c>
      <c r="D99" s="5">
        <f t="shared" si="11"/>
        <v>2119.68750000001</v>
      </c>
      <c r="E99" s="6">
        <f t="shared" si="12"/>
        <v>1416.6666666666667</v>
      </c>
      <c r="F99" s="10"/>
      <c r="G99" s="4"/>
      <c r="H99" s="6"/>
    </row>
    <row r="100" spans="1:8" x14ac:dyDescent="0.2">
      <c r="A100" s="2">
        <v>88</v>
      </c>
      <c r="B100" s="9">
        <f t="shared" si="10"/>
        <v>7</v>
      </c>
      <c r="C100" s="4">
        <f t="shared" si="13"/>
        <v>725333.33333333675</v>
      </c>
      <c r="D100" s="5">
        <f t="shared" si="11"/>
        <v>2115.5555555555657</v>
      </c>
      <c r="E100" s="6">
        <f t="shared" si="12"/>
        <v>1416.6666666666667</v>
      </c>
      <c r="F100" s="10"/>
      <c r="G100" s="4"/>
      <c r="H100" s="6"/>
    </row>
    <row r="101" spans="1:8" x14ac:dyDescent="0.2">
      <c r="A101" s="2">
        <v>89</v>
      </c>
      <c r="B101" s="9">
        <f t="shared" si="10"/>
        <v>7</v>
      </c>
      <c r="C101" s="4">
        <f t="shared" si="13"/>
        <v>723916.66666667012</v>
      </c>
      <c r="D101" s="5">
        <f t="shared" si="11"/>
        <v>2111.4236111111213</v>
      </c>
      <c r="E101" s="6">
        <f t="shared" si="12"/>
        <v>1416.6666666666667</v>
      </c>
      <c r="F101" s="10"/>
      <c r="G101" s="4"/>
      <c r="H101" s="6"/>
    </row>
    <row r="102" spans="1:8" x14ac:dyDescent="0.2">
      <c r="A102" s="2">
        <v>90</v>
      </c>
      <c r="B102" s="9">
        <f t="shared" si="10"/>
        <v>7</v>
      </c>
      <c r="C102" s="4">
        <f t="shared" si="13"/>
        <v>722500.00000000349</v>
      </c>
      <c r="D102" s="5">
        <f t="shared" si="11"/>
        <v>2107.291666666677</v>
      </c>
      <c r="E102" s="6">
        <f t="shared" si="12"/>
        <v>1416.6666666666667</v>
      </c>
      <c r="F102" s="10"/>
      <c r="G102" s="4"/>
      <c r="H102" s="6"/>
    </row>
    <row r="103" spans="1:8" x14ac:dyDescent="0.2">
      <c r="A103" s="2">
        <v>91</v>
      </c>
      <c r="B103" s="9">
        <f t="shared" si="10"/>
        <v>7</v>
      </c>
      <c r="C103" s="4">
        <f t="shared" si="13"/>
        <v>721083.33333333686</v>
      </c>
      <c r="D103" s="5">
        <f t="shared" si="11"/>
        <v>2103.1597222222326</v>
      </c>
      <c r="E103" s="6">
        <f t="shared" si="12"/>
        <v>1416.6666666666667</v>
      </c>
      <c r="F103" s="10"/>
      <c r="G103" s="4"/>
      <c r="H103" s="6"/>
    </row>
    <row r="104" spans="1:8" x14ac:dyDescent="0.2">
      <c r="A104" s="2">
        <v>92</v>
      </c>
      <c r="B104" s="9">
        <f t="shared" si="10"/>
        <v>7</v>
      </c>
      <c r="C104" s="4">
        <f t="shared" si="13"/>
        <v>719666.66666667024</v>
      </c>
      <c r="D104" s="5">
        <f t="shared" si="11"/>
        <v>2099.0277777777883</v>
      </c>
      <c r="E104" s="6">
        <f t="shared" si="12"/>
        <v>1416.6666666666667</v>
      </c>
      <c r="F104" s="10"/>
      <c r="G104" s="4"/>
      <c r="H104" s="6"/>
    </row>
    <row r="105" spans="1:8" x14ac:dyDescent="0.2">
      <c r="A105" s="2">
        <v>93</v>
      </c>
      <c r="B105" s="9">
        <f t="shared" si="10"/>
        <v>7</v>
      </c>
      <c r="C105" s="4">
        <f t="shared" si="13"/>
        <v>718250.00000000361</v>
      </c>
      <c r="D105" s="5">
        <f t="shared" si="11"/>
        <v>2094.8958333333439</v>
      </c>
      <c r="E105" s="6">
        <f t="shared" si="12"/>
        <v>1416.6666666666667</v>
      </c>
      <c r="F105" s="10"/>
      <c r="G105" s="4"/>
      <c r="H105" s="6"/>
    </row>
    <row r="106" spans="1:8" x14ac:dyDescent="0.2">
      <c r="A106" s="2">
        <v>94</v>
      </c>
      <c r="B106" s="9">
        <f t="shared" si="10"/>
        <v>7</v>
      </c>
      <c r="C106" s="4">
        <f t="shared" si="13"/>
        <v>716833.33333333698</v>
      </c>
      <c r="D106" s="5">
        <f t="shared" si="11"/>
        <v>2090.7638888888996</v>
      </c>
      <c r="E106" s="6">
        <f t="shared" si="12"/>
        <v>1416.6666666666667</v>
      </c>
      <c r="F106" s="10"/>
      <c r="G106" s="4"/>
      <c r="H106" s="6"/>
    </row>
    <row r="107" spans="1:8" x14ac:dyDescent="0.2">
      <c r="A107" s="2">
        <v>95</v>
      </c>
      <c r="B107" s="9">
        <f t="shared" si="10"/>
        <v>7</v>
      </c>
      <c r="C107" s="4">
        <f t="shared" si="13"/>
        <v>715416.66666667035</v>
      </c>
      <c r="D107" s="5">
        <f t="shared" si="11"/>
        <v>2086.6319444444553</v>
      </c>
      <c r="E107" s="6">
        <f t="shared" si="12"/>
        <v>1416.6666666666667</v>
      </c>
      <c r="F107" s="10"/>
      <c r="G107" s="4"/>
      <c r="H107" s="6"/>
    </row>
    <row r="108" spans="1:8" x14ac:dyDescent="0.2">
      <c r="A108" s="2">
        <v>96</v>
      </c>
      <c r="B108" s="9">
        <f t="shared" si="10"/>
        <v>8</v>
      </c>
      <c r="C108" s="4">
        <f t="shared" si="13"/>
        <v>714000.00000000373</v>
      </c>
      <c r="D108" s="5">
        <f t="shared" si="11"/>
        <v>2082.5000000000109</v>
      </c>
      <c r="E108" s="6">
        <f t="shared" si="12"/>
        <v>1416.6666666666667</v>
      </c>
      <c r="F108" s="10"/>
      <c r="G108" s="4"/>
      <c r="H108" s="6"/>
    </row>
    <row r="109" spans="1:8" x14ac:dyDescent="0.2">
      <c r="A109" s="2">
        <v>97</v>
      </c>
      <c r="B109" s="9">
        <f t="shared" si="10"/>
        <v>8</v>
      </c>
      <c r="C109" s="4">
        <f t="shared" si="13"/>
        <v>712583.3333333371</v>
      </c>
      <c r="D109" s="5">
        <f t="shared" si="11"/>
        <v>2078.368055555567</v>
      </c>
      <c r="E109" s="6">
        <f t="shared" si="12"/>
        <v>1416.6666666666667</v>
      </c>
      <c r="F109" s="10"/>
      <c r="G109" s="4"/>
      <c r="H109" s="6"/>
    </row>
    <row r="110" spans="1:8" x14ac:dyDescent="0.2">
      <c r="A110" s="2">
        <v>98</v>
      </c>
      <c r="B110" s="9">
        <f t="shared" si="10"/>
        <v>8</v>
      </c>
      <c r="C110" s="4">
        <f t="shared" si="13"/>
        <v>711166.66666667047</v>
      </c>
      <c r="D110" s="5">
        <f t="shared" si="11"/>
        <v>2074.2361111111227</v>
      </c>
      <c r="E110" s="6">
        <f t="shared" si="12"/>
        <v>1416.6666666666667</v>
      </c>
      <c r="F110" s="10"/>
      <c r="G110" s="4"/>
      <c r="H110" s="6"/>
    </row>
    <row r="111" spans="1:8" x14ac:dyDescent="0.2">
      <c r="A111" s="2">
        <v>99</v>
      </c>
      <c r="B111" s="9">
        <f t="shared" si="10"/>
        <v>8</v>
      </c>
      <c r="C111" s="4">
        <f t="shared" si="13"/>
        <v>709750.00000000384</v>
      </c>
      <c r="D111" s="5">
        <f t="shared" si="11"/>
        <v>2070.1041666666783</v>
      </c>
      <c r="E111" s="6">
        <f t="shared" si="12"/>
        <v>1416.6666666666667</v>
      </c>
      <c r="F111" s="10"/>
      <c r="G111" s="4"/>
      <c r="H111" s="6"/>
    </row>
    <row r="112" spans="1:8" x14ac:dyDescent="0.2">
      <c r="A112" s="2">
        <v>100</v>
      </c>
      <c r="B112" s="9">
        <f t="shared" si="10"/>
        <v>8</v>
      </c>
      <c r="C112" s="4">
        <f t="shared" si="13"/>
        <v>708333.33333333721</v>
      </c>
      <c r="D112" s="5">
        <f t="shared" si="11"/>
        <v>2065.972222222234</v>
      </c>
      <c r="E112" s="6">
        <f t="shared" si="12"/>
        <v>1416.6666666666667</v>
      </c>
      <c r="F112" s="10"/>
      <c r="G112" s="4"/>
      <c r="H112" s="6"/>
    </row>
    <row r="113" spans="1:8" x14ac:dyDescent="0.2">
      <c r="A113" s="2">
        <v>101</v>
      </c>
      <c r="B113" s="9">
        <f t="shared" si="10"/>
        <v>8</v>
      </c>
      <c r="C113" s="4">
        <f t="shared" si="13"/>
        <v>706916.66666667059</v>
      </c>
      <c r="D113" s="5">
        <f t="shared" si="11"/>
        <v>2061.8402777777897</v>
      </c>
      <c r="E113" s="6">
        <f t="shared" si="12"/>
        <v>1416.6666666666667</v>
      </c>
      <c r="F113" s="10"/>
      <c r="G113" s="4"/>
      <c r="H113" s="6"/>
    </row>
    <row r="114" spans="1:8" x14ac:dyDescent="0.2">
      <c r="A114" s="2">
        <v>102</v>
      </c>
      <c r="B114" s="9">
        <f t="shared" si="10"/>
        <v>8</v>
      </c>
      <c r="C114" s="4">
        <f t="shared" si="13"/>
        <v>705500.00000000396</v>
      </c>
      <c r="D114" s="5">
        <f t="shared" si="11"/>
        <v>2057.7083333333453</v>
      </c>
      <c r="E114" s="6">
        <f t="shared" si="12"/>
        <v>1416.6666666666667</v>
      </c>
      <c r="F114" s="10"/>
      <c r="G114" s="4"/>
      <c r="H114" s="6"/>
    </row>
    <row r="115" spans="1:8" x14ac:dyDescent="0.2">
      <c r="A115" s="2">
        <v>103</v>
      </c>
      <c r="B115" s="9">
        <f t="shared" si="10"/>
        <v>8</v>
      </c>
      <c r="C115" s="4">
        <f t="shared" si="13"/>
        <v>704083.33333333733</v>
      </c>
      <c r="D115" s="5">
        <f t="shared" si="11"/>
        <v>2053.576388888901</v>
      </c>
      <c r="E115" s="6">
        <f t="shared" si="12"/>
        <v>1416.6666666666667</v>
      </c>
      <c r="F115" s="10"/>
      <c r="G115" s="4"/>
      <c r="H115" s="6"/>
    </row>
    <row r="116" spans="1:8" x14ac:dyDescent="0.2">
      <c r="A116" s="2">
        <v>104</v>
      </c>
      <c r="B116" s="9">
        <f t="shared" si="10"/>
        <v>8</v>
      </c>
      <c r="C116" s="4">
        <f t="shared" si="13"/>
        <v>702666.6666666707</v>
      </c>
      <c r="D116" s="5">
        <f t="shared" si="11"/>
        <v>2049.4444444444566</v>
      </c>
      <c r="E116" s="6">
        <f t="shared" si="12"/>
        <v>1416.6666666666667</v>
      </c>
      <c r="F116" s="10"/>
      <c r="G116" s="4"/>
      <c r="H116" s="6"/>
    </row>
    <row r="117" spans="1:8" x14ac:dyDescent="0.2">
      <c r="A117" s="2">
        <v>105</v>
      </c>
      <c r="B117" s="9">
        <f t="shared" si="10"/>
        <v>8</v>
      </c>
      <c r="C117" s="4">
        <f t="shared" si="13"/>
        <v>701250.00000000407</v>
      </c>
      <c r="D117" s="5">
        <f t="shared" si="11"/>
        <v>2045.3125000000121</v>
      </c>
      <c r="E117" s="6">
        <f t="shared" si="12"/>
        <v>1416.6666666666667</v>
      </c>
      <c r="F117" s="10"/>
      <c r="G117" s="4"/>
      <c r="H117" s="6"/>
    </row>
    <row r="118" spans="1:8" x14ac:dyDescent="0.2">
      <c r="A118" s="2">
        <v>106</v>
      </c>
      <c r="B118" s="9">
        <f t="shared" si="10"/>
        <v>8</v>
      </c>
      <c r="C118" s="4">
        <f t="shared" si="13"/>
        <v>699833.33333333745</v>
      </c>
      <c r="D118" s="5">
        <f t="shared" si="11"/>
        <v>2041.1805555555677</v>
      </c>
      <c r="E118" s="6">
        <f t="shared" si="12"/>
        <v>1416.6666666666667</v>
      </c>
      <c r="F118" s="10"/>
      <c r="G118" s="4"/>
      <c r="H118" s="6"/>
    </row>
    <row r="119" spans="1:8" x14ac:dyDescent="0.2">
      <c r="A119" s="2">
        <v>107</v>
      </c>
      <c r="B119" s="9">
        <f t="shared" si="10"/>
        <v>8</v>
      </c>
      <c r="C119" s="4">
        <f t="shared" si="13"/>
        <v>698416.66666667082</v>
      </c>
      <c r="D119" s="5">
        <f t="shared" si="11"/>
        <v>2037.0486111111234</v>
      </c>
      <c r="E119" s="6">
        <f t="shared" si="12"/>
        <v>1416.6666666666667</v>
      </c>
      <c r="F119" s="10"/>
      <c r="G119" s="4"/>
      <c r="H119" s="6"/>
    </row>
    <row r="120" spans="1:8" x14ac:dyDescent="0.2">
      <c r="A120" s="2">
        <v>108</v>
      </c>
      <c r="B120" s="9">
        <f t="shared" si="10"/>
        <v>9</v>
      </c>
      <c r="C120" s="4">
        <f t="shared" si="13"/>
        <v>697000.00000000419</v>
      </c>
      <c r="D120" s="5">
        <f t="shared" si="11"/>
        <v>2032.916666666679</v>
      </c>
      <c r="E120" s="6">
        <f t="shared" si="12"/>
        <v>1416.6666666666667</v>
      </c>
      <c r="F120" s="10"/>
      <c r="G120" s="4"/>
      <c r="H120" s="6"/>
    </row>
    <row r="121" spans="1:8" x14ac:dyDescent="0.2">
      <c r="A121" s="2">
        <v>109</v>
      </c>
      <c r="B121" s="9">
        <f t="shared" si="10"/>
        <v>9</v>
      </c>
      <c r="C121" s="4">
        <f t="shared" si="13"/>
        <v>695583.33333333756</v>
      </c>
      <c r="D121" s="5">
        <f t="shared" si="11"/>
        <v>2028.7847222222347</v>
      </c>
      <c r="E121" s="6">
        <f t="shared" si="12"/>
        <v>1416.6666666666667</v>
      </c>
      <c r="F121" s="10"/>
      <c r="G121" s="4"/>
      <c r="H121" s="6"/>
    </row>
    <row r="122" spans="1:8" x14ac:dyDescent="0.2">
      <c r="A122" s="2">
        <v>110</v>
      </c>
      <c r="B122" s="9">
        <f t="shared" si="10"/>
        <v>9</v>
      </c>
      <c r="C122" s="4">
        <f t="shared" si="13"/>
        <v>694166.66666667094</v>
      </c>
      <c r="D122" s="5">
        <f t="shared" si="11"/>
        <v>2024.6527777777903</v>
      </c>
      <c r="E122" s="6">
        <f t="shared" si="12"/>
        <v>1416.6666666666667</v>
      </c>
      <c r="F122" s="10"/>
      <c r="G122" s="4"/>
      <c r="H122" s="6"/>
    </row>
    <row r="123" spans="1:8" x14ac:dyDescent="0.2">
      <c r="A123" s="2">
        <v>111</v>
      </c>
      <c r="B123" s="9">
        <f t="shared" si="10"/>
        <v>9</v>
      </c>
      <c r="C123" s="4">
        <f t="shared" si="13"/>
        <v>692750.00000000431</v>
      </c>
      <c r="D123" s="5">
        <f t="shared" si="11"/>
        <v>2020.520833333346</v>
      </c>
      <c r="E123" s="6">
        <f t="shared" si="12"/>
        <v>1416.6666666666667</v>
      </c>
      <c r="F123" s="10"/>
      <c r="G123" s="4"/>
      <c r="H123" s="6"/>
    </row>
    <row r="124" spans="1:8" x14ac:dyDescent="0.2">
      <c r="A124" s="2">
        <v>112</v>
      </c>
      <c r="B124" s="9">
        <f t="shared" si="10"/>
        <v>9</v>
      </c>
      <c r="C124" s="4">
        <f t="shared" si="13"/>
        <v>691333.33333333768</v>
      </c>
      <c r="D124" s="5">
        <f t="shared" si="11"/>
        <v>2016.3888888889016</v>
      </c>
      <c r="E124" s="6">
        <f t="shared" si="12"/>
        <v>1416.6666666666667</v>
      </c>
      <c r="F124" s="10"/>
      <c r="G124" s="4"/>
      <c r="H124" s="6"/>
    </row>
    <row r="125" spans="1:8" x14ac:dyDescent="0.2">
      <c r="A125" s="2">
        <v>113</v>
      </c>
      <c r="B125" s="9">
        <f t="shared" si="10"/>
        <v>9</v>
      </c>
      <c r="C125" s="4">
        <f t="shared" si="13"/>
        <v>689916.66666667105</v>
      </c>
      <c r="D125" s="5">
        <f t="shared" si="11"/>
        <v>2012.2569444444573</v>
      </c>
      <c r="E125" s="6">
        <f t="shared" si="12"/>
        <v>1416.6666666666667</v>
      </c>
      <c r="F125" s="10"/>
      <c r="G125" s="4"/>
      <c r="H125" s="6"/>
    </row>
    <row r="126" spans="1:8" x14ac:dyDescent="0.2">
      <c r="A126" s="2">
        <v>114</v>
      </c>
      <c r="B126" s="9">
        <f t="shared" si="10"/>
        <v>9</v>
      </c>
      <c r="C126" s="4">
        <f t="shared" si="13"/>
        <v>688500.00000000442</v>
      </c>
      <c r="D126" s="5">
        <f t="shared" si="11"/>
        <v>2008.125000000013</v>
      </c>
      <c r="E126" s="6">
        <f t="shared" si="12"/>
        <v>1416.6666666666667</v>
      </c>
      <c r="F126" s="10"/>
      <c r="G126" s="4"/>
      <c r="H126" s="6"/>
    </row>
    <row r="127" spans="1:8" x14ac:dyDescent="0.2">
      <c r="A127" s="2">
        <v>115</v>
      </c>
      <c r="B127" s="9">
        <f t="shared" si="10"/>
        <v>9</v>
      </c>
      <c r="C127" s="4">
        <f t="shared" si="13"/>
        <v>687083.3333333378</v>
      </c>
      <c r="D127" s="5">
        <f t="shared" si="11"/>
        <v>2003.9930555555686</v>
      </c>
      <c r="E127" s="6">
        <f t="shared" si="12"/>
        <v>1416.6666666666667</v>
      </c>
      <c r="F127" s="10"/>
      <c r="G127" s="4"/>
      <c r="H127" s="6"/>
    </row>
    <row r="128" spans="1:8" x14ac:dyDescent="0.2">
      <c r="A128" s="2">
        <v>116</v>
      </c>
      <c r="B128" s="9">
        <f t="shared" si="10"/>
        <v>9</v>
      </c>
      <c r="C128" s="4">
        <f t="shared" si="13"/>
        <v>685666.66666667117</v>
      </c>
      <c r="D128" s="5">
        <f t="shared" si="11"/>
        <v>1999.8611111111243</v>
      </c>
      <c r="E128" s="6">
        <f t="shared" si="12"/>
        <v>1416.6666666666667</v>
      </c>
      <c r="F128" s="10"/>
      <c r="G128" s="4"/>
      <c r="H128" s="6"/>
    </row>
    <row r="129" spans="1:8" x14ac:dyDescent="0.2">
      <c r="A129" s="2">
        <v>117</v>
      </c>
      <c r="B129" s="9">
        <f t="shared" si="10"/>
        <v>9</v>
      </c>
      <c r="C129" s="4">
        <f t="shared" si="13"/>
        <v>684250.00000000454</v>
      </c>
      <c r="D129" s="5">
        <f t="shared" si="11"/>
        <v>1995.7291666666799</v>
      </c>
      <c r="E129" s="6">
        <f t="shared" si="12"/>
        <v>1416.6666666666667</v>
      </c>
      <c r="F129" s="10"/>
      <c r="G129" s="4"/>
      <c r="H129" s="6"/>
    </row>
    <row r="130" spans="1:8" x14ac:dyDescent="0.2">
      <c r="A130" s="2">
        <v>118</v>
      </c>
      <c r="B130" s="9">
        <f t="shared" si="10"/>
        <v>9</v>
      </c>
      <c r="C130" s="4">
        <f t="shared" si="13"/>
        <v>682833.33333333791</v>
      </c>
      <c r="D130" s="5">
        <f t="shared" si="11"/>
        <v>1991.5972222222356</v>
      </c>
      <c r="E130" s="6">
        <f t="shared" si="12"/>
        <v>1416.6666666666667</v>
      </c>
      <c r="F130" s="10"/>
      <c r="G130" s="4"/>
      <c r="H130" s="6"/>
    </row>
    <row r="131" spans="1:8" x14ac:dyDescent="0.2">
      <c r="A131" s="2">
        <v>119</v>
      </c>
      <c r="B131" s="9">
        <f t="shared" si="10"/>
        <v>9</v>
      </c>
      <c r="C131" s="4">
        <f t="shared" si="13"/>
        <v>681416.66666667128</v>
      </c>
      <c r="D131" s="5">
        <f t="shared" si="11"/>
        <v>1987.4652777777912</v>
      </c>
      <c r="E131" s="6">
        <f t="shared" si="12"/>
        <v>1416.6666666666667</v>
      </c>
      <c r="F131" s="10"/>
      <c r="G131" s="4"/>
      <c r="H131" s="6"/>
    </row>
    <row r="132" spans="1:8" x14ac:dyDescent="0.2">
      <c r="A132" s="2">
        <v>120</v>
      </c>
      <c r="B132" s="9">
        <f t="shared" si="10"/>
        <v>10</v>
      </c>
      <c r="C132" s="4">
        <f t="shared" si="13"/>
        <v>680000.00000000466</v>
      </c>
      <c r="D132" s="5">
        <f t="shared" si="11"/>
        <v>1983.3333333333469</v>
      </c>
      <c r="E132" s="6">
        <f t="shared" si="12"/>
        <v>1416.6666666666667</v>
      </c>
      <c r="F132" s="10"/>
      <c r="G132" s="4"/>
      <c r="H132" s="6"/>
    </row>
    <row r="133" spans="1:8" x14ac:dyDescent="0.2">
      <c r="A133" s="2">
        <v>121</v>
      </c>
      <c r="B133" s="9">
        <f t="shared" si="10"/>
        <v>10</v>
      </c>
      <c r="C133" s="4">
        <f t="shared" si="13"/>
        <v>678583.33333333803</v>
      </c>
      <c r="D133" s="5">
        <f t="shared" si="11"/>
        <v>1979.2013888889026</v>
      </c>
      <c r="E133" s="6">
        <f t="shared" si="12"/>
        <v>1416.6666666666667</v>
      </c>
      <c r="F133" s="10"/>
      <c r="G133" s="4"/>
      <c r="H133" s="6"/>
    </row>
    <row r="134" spans="1:8" x14ac:dyDescent="0.2">
      <c r="A134" s="2">
        <v>122</v>
      </c>
      <c r="B134" s="9">
        <f t="shared" si="10"/>
        <v>10</v>
      </c>
      <c r="C134" s="4">
        <f t="shared" si="13"/>
        <v>677166.6666666714</v>
      </c>
      <c r="D134" s="5">
        <f t="shared" si="11"/>
        <v>1975.0694444444582</v>
      </c>
      <c r="E134" s="6">
        <f t="shared" si="12"/>
        <v>1416.6666666666667</v>
      </c>
      <c r="F134" s="10"/>
      <c r="G134" s="4"/>
      <c r="H134" s="6"/>
    </row>
    <row r="135" spans="1:8" x14ac:dyDescent="0.2">
      <c r="A135" s="2">
        <v>123</v>
      </c>
      <c r="B135" s="9">
        <f t="shared" si="10"/>
        <v>10</v>
      </c>
      <c r="C135" s="4">
        <f t="shared" si="13"/>
        <v>675750.00000000477</v>
      </c>
      <c r="D135" s="5">
        <f t="shared" si="11"/>
        <v>1970.9375000000143</v>
      </c>
      <c r="E135" s="6">
        <f t="shared" si="12"/>
        <v>1416.6666666666667</v>
      </c>
      <c r="F135" s="10"/>
      <c r="G135" s="4"/>
      <c r="H135" s="6"/>
    </row>
    <row r="136" spans="1:8" x14ac:dyDescent="0.2">
      <c r="A136" s="2">
        <v>124</v>
      </c>
      <c r="B136" s="9">
        <f t="shared" si="10"/>
        <v>10</v>
      </c>
      <c r="C136" s="4">
        <f t="shared" si="13"/>
        <v>674333.33333333815</v>
      </c>
      <c r="D136" s="5">
        <f t="shared" si="11"/>
        <v>1966.80555555557</v>
      </c>
      <c r="E136" s="6">
        <f t="shared" si="12"/>
        <v>1416.6666666666667</v>
      </c>
      <c r="F136" s="10"/>
      <c r="G136" s="4"/>
      <c r="H136" s="6"/>
    </row>
    <row r="137" spans="1:8" x14ac:dyDescent="0.2">
      <c r="A137" s="2">
        <v>125</v>
      </c>
      <c r="B137" s="9">
        <f t="shared" si="10"/>
        <v>10</v>
      </c>
      <c r="C137" s="4">
        <f t="shared" si="13"/>
        <v>672916.66666667152</v>
      </c>
      <c r="D137" s="5">
        <f t="shared" si="11"/>
        <v>1962.6736111111256</v>
      </c>
      <c r="E137" s="6">
        <f t="shared" si="12"/>
        <v>1416.6666666666667</v>
      </c>
      <c r="F137" s="10"/>
      <c r="G137" s="4"/>
      <c r="H137" s="6"/>
    </row>
    <row r="138" spans="1:8" x14ac:dyDescent="0.2">
      <c r="A138" s="2">
        <v>126</v>
      </c>
      <c r="B138" s="9">
        <f t="shared" si="10"/>
        <v>10</v>
      </c>
      <c r="C138" s="4">
        <f t="shared" si="13"/>
        <v>671500.00000000489</v>
      </c>
      <c r="D138" s="5">
        <f t="shared" si="11"/>
        <v>1958.5416666666813</v>
      </c>
      <c r="E138" s="6">
        <f t="shared" si="12"/>
        <v>1416.6666666666667</v>
      </c>
      <c r="F138" s="10"/>
      <c r="G138" s="4"/>
      <c r="H138" s="6"/>
    </row>
    <row r="139" spans="1:8" x14ac:dyDescent="0.2">
      <c r="A139" s="2">
        <v>127</v>
      </c>
      <c r="B139" s="9">
        <f t="shared" si="10"/>
        <v>10</v>
      </c>
      <c r="C139" s="4">
        <f t="shared" si="13"/>
        <v>670083.33333333826</v>
      </c>
      <c r="D139" s="5">
        <f t="shared" si="11"/>
        <v>1954.409722222237</v>
      </c>
      <c r="E139" s="6">
        <f t="shared" si="12"/>
        <v>1416.6666666666667</v>
      </c>
      <c r="F139" s="10"/>
      <c r="G139" s="4"/>
      <c r="H139" s="6"/>
    </row>
    <row r="140" spans="1:8" x14ac:dyDescent="0.2">
      <c r="A140" s="2">
        <v>128</v>
      </c>
      <c r="B140" s="9">
        <f t="shared" ref="B140:B203" si="14">ROUNDDOWN(A140/$B$4,0)</f>
        <v>10</v>
      </c>
      <c r="C140" s="4">
        <f t="shared" si="13"/>
        <v>668666.66666667163</v>
      </c>
      <c r="D140" s="5">
        <f t="shared" si="11"/>
        <v>1950.2777777777926</v>
      </c>
      <c r="E140" s="6">
        <f t="shared" si="12"/>
        <v>1416.6666666666667</v>
      </c>
      <c r="F140" s="10"/>
      <c r="G140" s="4"/>
      <c r="H140" s="6"/>
    </row>
    <row r="141" spans="1:8" x14ac:dyDescent="0.2">
      <c r="A141" s="2">
        <v>129</v>
      </c>
      <c r="B141" s="9">
        <f t="shared" si="14"/>
        <v>10</v>
      </c>
      <c r="C141" s="4">
        <f t="shared" si="13"/>
        <v>667250.00000000501</v>
      </c>
      <c r="D141" s="5">
        <f t="shared" ref="D141:D204" si="15">$B$2*C141/$B$4</f>
        <v>1946.1458333333483</v>
      </c>
      <c r="E141" s="6">
        <f t="shared" ref="E141:E204" si="16">$B$7</f>
        <v>1416.6666666666667</v>
      </c>
      <c r="F141" s="10"/>
      <c r="G141" s="4"/>
      <c r="H141" s="6"/>
    </row>
    <row r="142" spans="1:8" x14ac:dyDescent="0.2">
      <c r="A142" s="2">
        <v>130</v>
      </c>
      <c r="B142" s="9">
        <f t="shared" si="14"/>
        <v>10</v>
      </c>
      <c r="C142" s="4">
        <f t="shared" ref="C142:C205" si="17">C141-E141</f>
        <v>665833.33333333838</v>
      </c>
      <c r="D142" s="5">
        <f t="shared" si="15"/>
        <v>1942.0138888889039</v>
      </c>
      <c r="E142" s="6">
        <f t="shared" si="16"/>
        <v>1416.6666666666667</v>
      </c>
      <c r="F142" s="10"/>
      <c r="G142" s="4"/>
      <c r="H142" s="6"/>
    </row>
    <row r="143" spans="1:8" x14ac:dyDescent="0.2">
      <c r="A143" s="2">
        <v>131</v>
      </c>
      <c r="B143" s="9">
        <f t="shared" si="14"/>
        <v>10</v>
      </c>
      <c r="C143" s="4">
        <f t="shared" si="17"/>
        <v>664416.66666667175</v>
      </c>
      <c r="D143" s="5">
        <f t="shared" si="15"/>
        <v>1937.8819444444596</v>
      </c>
      <c r="E143" s="6">
        <f t="shared" si="16"/>
        <v>1416.6666666666667</v>
      </c>
      <c r="F143" s="10"/>
      <c r="G143" s="4"/>
      <c r="H143" s="6"/>
    </row>
    <row r="144" spans="1:8" x14ac:dyDescent="0.2">
      <c r="A144" s="2">
        <v>132</v>
      </c>
      <c r="B144" s="9">
        <f t="shared" si="14"/>
        <v>11</v>
      </c>
      <c r="C144" s="4">
        <f t="shared" si="17"/>
        <v>663000.00000000512</v>
      </c>
      <c r="D144" s="5">
        <f t="shared" si="15"/>
        <v>1933.7500000000152</v>
      </c>
      <c r="E144" s="6">
        <f t="shared" si="16"/>
        <v>1416.6666666666667</v>
      </c>
      <c r="F144" s="10"/>
      <c r="G144" s="4"/>
      <c r="H144" s="6"/>
    </row>
    <row r="145" spans="1:8" x14ac:dyDescent="0.2">
      <c r="A145" s="2">
        <v>133</v>
      </c>
      <c r="B145" s="9">
        <f t="shared" si="14"/>
        <v>11</v>
      </c>
      <c r="C145" s="4">
        <f t="shared" si="17"/>
        <v>661583.33333333849</v>
      </c>
      <c r="D145" s="5">
        <f t="shared" si="15"/>
        <v>1929.6180555555709</v>
      </c>
      <c r="E145" s="6">
        <f t="shared" si="16"/>
        <v>1416.6666666666667</v>
      </c>
      <c r="F145" s="10"/>
      <c r="G145" s="4"/>
      <c r="H145" s="6"/>
    </row>
    <row r="146" spans="1:8" x14ac:dyDescent="0.2">
      <c r="A146" s="2">
        <v>134</v>
      </c>
      <c r="B146" s="9">
        <f t="shared" si="14"/>
        <v>11</v>
      </c>
      <c r="C146" s="4">
        <f t="shared" si="17"/>
        <v>660166.66666667187</v>
      </c>
      <c r="D146" s="5">
        <f t="shared" si="15"/>
        <v>1925.4861111111265</v>
      </c>
      <c r="E146" s="6">
        <f t="shared" si="16"/>
        <v>1416.6666666666667</v>
      </c>
      <c r="F146" s="10"/>
      <c r="G146" s="4"/>
      <c r="H146" s="6"/>
    </row>
    <row r="147" spans="1:8" x14ac:dyDescent="0.2">
      <c r="A147" s="2">
        <v>135</v>
      </c>
      <c r="B147" s="9">
        <f t="shared" si="14"/>
        <v>11</v>
      </c>
      <c r="C147" s="4">
        <f t="shared" si="17"/>
        <v>658750.00000000524</v>
      </c>
      <c r="D147" s="5">
        <f t="shared" si="15"/>
        <v>1921.3541666666822</v>
      </c>
      <c r="E147" s="6">
        <f t="shared" si="16"/>
        <v>1416.6666666666667</v>
      </c>
      <c r="F147" s="10"/>
      <c r="G147" s="4"/>
      <c r="H147" s="6"/>
    </row>
    <row r="148" spans="1:8" x14ac:dyDescent="0.2">
      <c r="A148" s="2">
        <v>136</v>
      </c>
      <c r="B148" s="9">
        <f t="shared" si="14"/>
        <v>11</v>
      </c>
      <c r="C148" s="4">
        <f t="shared" si="17"/>
        <v>657333.33333333861</v>
      </c>
      <c r="D148" s="5">
        <f t="shared" si="15"/>
        <v>1917.2222222222379</v>
      </c>
      <c r="E148" s="6">
        <f t="shared" si="16"/>
        <v>1416.6666666666667</v>
      </c>
      <c r="F148" s="10"/>
      <c r="G148" s="4"/>
      <c r="H148" s="6"/>
    </row>
    <row r="149" spans="1:8" x14ac:dyDescent="0.2">
      <c r="A149" s="2">
        <v>137</v>
      </c>
      <c r="B149" s="9">
        <f t="shared" si="14"/>
        <v>11</v>
      </c>
      <c r="C149" s="4">
        <f t="shared" si="17"/>
        <v>655916.66666667198</v>
      </c>
      <c r="D149" s="5">
        <f t="shared" si="15"/>
        <v>1913.0902777777935</v>
      </c>
      <c r="E149" s="6">
        <f t="shared" si="16"/>
        <v>1416.6666666666667</v>
      </c>
      <c r="F149" s="10"/>
      <c r="G149" s="4"/>
      <c r="H149" s="6"/>
    </row>
    <row r="150" spans="1:8" x14ac:dyDescent="0.2">
      <c r="A150" s="2">
        <v>138</v>
      </c>
      <c r="B150" s="9">
        <f t="shared" si="14"/>
        <v>11</v>
      </c>
      <c r="C150" s="4">
        <f t="shared" si="17"/>
        <v>654500.00000000536</v>
      </c>
      <c r="D150" s="5">
        <f t="shared" si="15"/>
        <v>1908.9583333333492</v>
      </c>
      <c r="E150" s="6">
        <f t="shared" si="16"/>
        <v>1416.6666666666667</v>
      </c>
      <c r="F150" s="10"/>
      <c r="G150" s="4"/>
      <c r="H150" s="6"/>
    </row>
    <row r="151" spans="1:8" x14ac:dyDescent="0.2">
      <c r="A151" s="2">
        <v>139</v>
      </c>
      <c r="B151" s="9">
        <f t="shared" si="14"/>
        <v>11</v>
      </c>
      <c r="C151" s="4">
        <f t="shared" si="17"/>
        <v>653083.33333333873</v>
      </c>
      <c r="D151" s="5">
        <f t="shared" si="15"/>
        <v>1904.8263888889048</v>
      </c>
      <c r="E151" s="6">
        <f t="shared" si="16"/>
        <v>1416.6666666666667</v>
      </c>
      <c r="F151" s="10"/>
      <c r="G151" s="4"/>
      <c r="H151" s="6"/>
    </row>
    <row r="152" spans="1:8" x14ac:dyDescent="0.2">
      <c r="A152" s="2">
        <v>140</v>
      </c>
      <c r="B152" s="9">
        <f t="shared" si="14"/>
        <v>11</v>
      </c>
      <c r="C152" s="4">
        <f t="shared" si="17"/>
        <v>651666.6666666721</v>
      </c>
      <c r="D152" s="5">
        <f t="shared" si="15"/>
        <v>1900.6944444444605</v>
      </c>
      <c r="E152" s="6">
        <f t="shared" si="16"/>
        <v>1416.6666666666667</v>
      </c>
      <c r="F152" s="10"/>
      <c r="G152" s="4"/>
      <c r="H152" s="6"/>
    </row>
    <row r="153" spans="1:8" x14ac:dyDescent="0.2">
      <c r="A153" s="2">
        <v>141</v>
      </c>
      <c r="B153" s="9">
        <f t="shared" si="14"/>
        <v>11</v>
      </c>
      <c r="C153" s="4">
        <f t="shared" si="17"/>
        <v>650250.00000000547</v>
      </c>
      <c r="D153" s="5">
        <f t="shared" si="15"/>
        <v>1896.5625000000161</v>
      </c>
      <c r="E153" s="6">
        <f t="shared" si="16"/>
        <v>1416.6666666666667</v>
      </c>
      <c r="F153" s="10"/>
      <c r="G153" s="4"/>
      <c r="H153" s="6"/>
    </row>
    <row r="154" spans="1:8" x14ac:dyDescent="0.2">
      <c r="A154" s="2">
        <v>142</v>
      </c>
      <c r="B154" s="9">
        <f t="shared" si="14"/>
        <v>11</v>
      </c>
      <c r="C154" s="4">
        <f t="shared" si="17"/>
        <v>648833.33333333884</v>
      </c>
      <c r="D154" s="5">
        <f t="shared" si="15"/>
        <v>1892.4305555555718</v>
      </c>
      <c r="E154" s="6">
        <f t="shared" si="16"/>
        <v>1416.6666666666667</v>
      </c>
      <c r="F154" s="10"/>
      <c r="G154" s="4"/>
      <c r="H154" s="6"/>
    </row>
    <row r="155" spans="1:8" x14ac:dyDescent="0.2">
      <c r="A155" s="2">
        <v>143</v>
      </c>
      <c r="B155" s="9">
        <f t="shared" si="14"/>
        <v>11</v>
      </c>
      <c r="C155" s="4">
        <f t="shared" si="17"/>
        <v>647416.66666667222</v>
      </c>
      <c r="D155" s="5">
        <f t="shared" si="15"/>
        <v>1888.2986111111275</v>
      </c>
      <c r="E155" s="6">
        <f t="shared" si="16"/>
        <v>1416.6666666666667</v>
      </c>
      <c r="F155" s="10"/>
      <c r="G155" s="4"/>
      <c r="H155" s="6"/>
    </row>
    <row r="156" spans="1:8" x14ac:dyDescent="0.2">
      <c r="A156" s="2">
        <v>144</v>
      </c>
      <c r="B156" s="9">
        <f t="shared" si="14"/>
        <v>12</v>
      </c>
      <c r="C156" s="4">
        <f t="shared" si="17"/>
        <v>646000.00000000559</v>
      </c>
      <c r="D156" s="5">
        <f t="shared" si="15"/>
        <v>1884.1666666666831</v>
      </c>
      <c r="E156" s="6">
        <f t="shared" si="16"/>
        <v>1416.6666666666667</v>
      </c>
      <c r="F156" s="10"/>
      <c r="G156" s="4"/>
      <c r="H156" s="6"/>
    </row>
    <row r="157" spans="1:8" x14ac:dyDescent="0.2">
      <c r="A157" s="2">
        <v>145</v>
      </c>
      <c r="B157" s="9">
        <f t="shared" si="14"/>
        <v>12</v>
      </c>
      <c r="C157" s="4">
        <f t="shared" si="17"/>
        <v>644583.33333333896</v>
      </c>
      <c r="D157" s="5">
        <f t="shared" si="15"/>
        <v>1880.0347222222388</v>
      </c>
      <c r="E157" s="6">
        <f t="shared" si="16"/>
        <v>1416.6666666666667</v>
      </c>
      <c r="F157" s="10"/>
      <c r="G157" s="4"/>
      <c r="H157" s="6"/>
    </row>
    <row r="158" spans="1:8" x14ac:dyDescent="0.2">
      <c r="A158" s="2">
        <v>146</v>
      </c>
      <c r="B158" s="9">
        <f t="shared" si="14"/>
        <v>12</v>
      </c>
      <c r="C158" s="4">
        <f t="shared" si="17"/>
        <v>643166.66666667233</v>
      </c>
      <c r="D158" s="5">
        <f t="shared" si="15"/>
        <v>1875.9027777777944</v>
      </c>
      <c r="E158" s="6">
        <f t="shared" si="16"/>
        <v>1416.6666666666667</v>
      </c>
      <c r="F158" s="10"/>
      <c r="G158" s="4"/>
      <c r="H158" s="6"/>
    </row>
    <row r="159" spans="1:8" x14ac:dyDescent="0.2">
      <c r="A159" s="2">
        <v>147</v>
      </c>
      <c r="B159" s="9">
        <f t="shared" si="14"/>
        <v>12</v>
      </c>
      <c r="C159" s="4">
        <f t="shared" si="17"/>
        <v>641750.0000000057</v>
      </c>
      <c r="D159" s="5">
        <f t="shared" si="15"/>
        <v>1871.7708333333501</v>
      </c>
      <c r="E159" s="6">
        <f t="shared" si="16"/>
        <v>1416.6666666666667</v>
      </c>
      <c r="F159" s="10"/>
      <c r="G159" s="4"/>
      <c r="H159" s="6"/>
    </row>
    <row r="160" spans="1:8" x14ac:dyDescent="0.2">
      <c r="A160" s="2">
        <v>148</v>
      </c>
      <c r="B160" s="9">
        <f t="shared" si="14"/>
        <v>12</v>
      </c>
      <c r="C160" s="4">
        <f t="shared" si="17"/>
        <v>640333.33333333908</v>
      </c>
      <c r="D160" s="5">
        <f t="shared" si="15"/>
        <v>1867.638888888906</v>
      </c>
      <c r="E160" s="6">
        <f t="shared" si="16"/>
        <v>1416.6666666666667</v>
      </c>
      <c r="F160" s="10"/>
      <c r="G160" s="4"/>
      <c r="H160" s="6"/>
    </row>
    <row r="161" spans="1:8" x14ac:dyDescent="0.2">
      <c r="A161" s="2">
        <v>149</v>
      </c>
      <c r="B161" s="9">
        <f t="shared" si="14"/>
        <v>12</v>
      </c>
      <c r="C161" s="4">
        <f t="shared" si="17"/>
        <v>638916.66666667245</v>
      </c>
      <c r="D161" s="5">
        <f t="shared" si="15"/>
        <v>1863.5069444444616</v>
      </c>
      <c r="E161" s="6">
        <f t="shared" si="16"/>
        <v>1416.6666666666667</v>
      </c>
      <c r="F161" s="10"/>
      <c r="G161" s="4"/>
      <c r="H161" s="6"/>
    </row>
    <row r="162" spans="1:8" x14ac:dyDescent="0.2">
      <c r="A162" s="2">
        <v>150</v>
      </c>
      <c r="B162" s="9">
        <f t="shared" si="14"/>
        <v>12</v>
      </c>
      <c r="C162" s="4">
        <f t="shared" si="17"/>
        <v>637500.00000000582</v>
      </c>
      <c r="D162" s="5">
        <f t="shared" si="15"/>
        <v>1859.3750000000173</v>
      </c>
      <c r="E162" s="6">
        <f t="shared" si="16"/>
        <v>1416.6666666666667</v>
      </c>
      <c r="F162" s="10"/>
      <c r="G162" s="4"/>
      <c r="H162" s="6"/>
    </row>
    <row r="163" spans="1:8" x14ac:dyDescent="0.2">
      <c r="A163" s="2">
        <v>151</v>
      </c>
      <c r="B163" s="9">
        <f t="shared" si="14"/>
        <v>12</v>
      </c>
      <c r="C163" s="4">
        <f t="shared" si="17"/>
        <v>636083.33333333919</v>
      </c>
      <c r="D163" s="5">
        <f t="shared" si="15"/>
        <v>1855.2430555555729</v>
      </c>
      <c r="E163" s="6">
        <f t="shared" si="16"/>
        <v>1416.6666666666667</v>
      </c>
      <c r="F163" s="10"/>
      <c r="G163" s="4"/>
      <c r="H163" s="6"/>
    </row>
    <row r="164" spans="1:8" x14ac:dyDescent="0.2">
      <c r="A164" s="2">
        <v>152</v>
      </c>
      <c r="B164" s="9">
        <f t="shared" si="14"/>
        <v>12</v>
      </c>
      <c r="C164" s="4">
        <f t="shared" si="17"/>
        <v>634666.66666667257</v>
      </c>
      <c r="D164" s="5">
        <f t="shared" si="15"/>
        <v>1851.1111111111286</v>
      </c>
      <c r="E164" s="6">
        <f t="shared" si="16"/>
        <v>1416.6666666666667</v>
      </c>
      <c r="F164" s="10"/>
      <c r="G164" s="4"/>
      <c r="H164" s="6"/>
    </row>
    <row r="165" spans="1:8" x14ac:dyDescent="0.2">
      <c r="A165" s="2">
        <v>153</v>
      </c>
      <c r="B165" s="9">
        <f t="shared" si="14"/>
        <v>12</v>
      </c>
      <c r="C165" s="4">
        <f t="shared" si="17"/>
        <v>633250.00000000594</v>
      </c>
      <c r="D165" s="5">
        <f t="shared" si="15"/>
        <v>1846.9791666666843</v>
      </c>
      <c r="E165" s="6">
        <f t="shared" si="16"/>
        <v>1416.6666666666667</v>
      </c>
      <c r="F165" s="10"/>
      <c r="G165" s="4"/>
      <c r="H165" s="6"/>
    </row>
    <row r="166" spans="1:8" x14ac:dyDescent="0.2">
      <c r="A166" s="2">
        <v>154</v>
      </c>
      <c r="B166" s="9">
        <f t="shared" si="14"/>
        <v>12</v>
      </c>
      <c r="C166" s="4">
        <f t="shared" si="17"/>
        <v>631833.33333333931</v>
      </c>
      <c r="D166" s="5">
        <f t="shared" si="15"/>
        <v>1842.8472222222399</v>
      </c>
      <c r="E166" s="6">
        <f t="shared" si="16"/>
        <v>1416.6666666666667</v>
      </c>
      <c r="F166" s="10"/>
      <c r="G166" s="4"/>
      <c r="H166" s="6"/>
    </row>
    <row r="167" spans="1:8" x14ac:dyDescent="0.2">
      <c r="A167" s="2">
        <v>155</v>
      </c>
      <c r="B167" s="9">
        <f t="shared" si="14"/>
        <v>12</v>
      </c>
      <c r="C167" s="4">
        <f t="shared" si="17"/>
        <v>630416.66666667268</v>
      </c>
      <c r="D167" s="5">
        <f t="shared" si="15"/>
        <v>1838.7152777777956</v>
      </c>
      <c r="E167" s="6">
        <f t="shared" si="16"/>
        <v>1416.6666666666667</v>
      </c>
      <c r="F167" s="10"/>
      <c r="G167" s="4"/>
      <c r="H167" s="6"/>
    </row>
    <row r="168" spans="1:8" x14ac:dyDescent="0.2">
      <c r="A168" s="2">
        <v>156</v>
      </c>
      <c r="B168" s="9">
        <f t="shared" si="14"/>
        <v>13</v>
      </c>
      <c r="C168" s="4">
        <f t="shared" si="17"/>
        <v>629000.00000000605</v>
      </c>
      <c r="D168" s="5">
        <f t="shared" si="15"/>
        <v>1834.5833333333512</v>
      </c>
      <c r="E168" s="6">
        <f t="shared" si="16"/>
        <v>1416.6666666666667</v>
      </c>
      <c r="F168" s="10"/>
      <c r="G168" s="4"/>
      <c r="H168" s="6"/>
    </row>
    <row r="169" spans="1:8" x14ac:dyDescent="0.2">
      <c r="A169" s="2">
        <v>157</v>
      </c>
      <c r="B169" s="9">
        <f t="shared" si="14"/>
        <v>13</v>
      </c>
      <c r="C169" s="4">
        <f t="shared" si="17"/>
        <v>627583.33333333943</v>
      </c>
      <c r="D169" s="5">
        <f t="shared" si="15"/>
        <v>1830.4513888889069</v>
      </c>
      <c r="E169" s="6">
        <f t="shared" si="16"/>
        <v>1416.6666666666667</v>
      </c>
      <c r="F169" s="10"/>
      <c r="G169" s="4"/>
      <c r="H169" s="6"/>
    </row>
    <row r="170" spans="1:8" x14ac:dyDescent="0.2">
      <c r="A170" s="2">
        <v>158</v>
      </c>
      <c r="B170" s="9">
        <f t="shared" si="14"/>
        <v>13</v>
      </c>
      <c r="C170" s="4">
        <f t="shared" si="17"/>
        <v>626166.6666666728</v>
      </c>
      <c r="D170" s="5">
        <f t="shared" si="15"/>
        <v>1826.3194444444625</v>
      </c>
      <c r="E170" s="6">
        <f t="shared" si="16"/>
        <v>1416.6666666666667</v>
      </c>
      <c r="F170" s="10"/>
      <c r="G170" s="4"/>
      <c r="H170" s="6"/>
    </row>
    <row r="171" spans="1:8" x14ac:dyDescent="0.2">
      <c r="A171" s="2">
        <v>159</v>
      </c>
      <c r="B171" s="9">
        <f t="shared" si="14"/>
        <v>13</v>
      </c>
      <c r="C171" s="4">
        <f t="shared" si="17"/>
        <v>624750.00000000617</v>
      </c>
      <c r="D171" s="5">
        <f t="shared" si="15"/>
        <v>1822.1875000000182</v>
      </c>
      <c r="E171" s="6">
        <f t="shared" si="16"/>
        <v>1416.6666666666667</v>
      </c>
      <c r="F171" s="10"/>
      <c r="G171" s="4"/>
      <c r="H171" s="6"/>
    </row>
    <row r="172" spans="1:8" x14ac:dyDescent="0.2">
      <c r="A172" s="2">
        <v>160</v>
      </c>
      <c r="B172" s="9">
        <f t="shared" si="14"/>
        <v>13</v>
      </c>
      <c r="C172" s="4">
        <f t="shared" si="17"/>
        <v>623333.33333333954</v>
      </c>
      <c r="D172" s="5">
        <f t="shared" si="15"/>
        <v>1818.0555555555738</v>
      </c>
      <c r="E172" s="6">
        <f t="shared" si="16"/>
        <v>1416.6666666666667</v>
      </c>
      <c r="F172" s="10"/>
      <c r="G172" s="4"/>
      <c r="H172" s="6"/>
    </row>
    <row r="173" spans="1:8" x14ac:dyDescent="0.2">
      <c r="A173" s="2">
        <v>161</v>
      </c>
      <c r="B173" s="9">
        <f t="shared" si="14"/>
        <v>13</v>
      </c>
      <c r="C173" s="4">
        <f t="shared" si="17"/>
        <v>621916.66666667291</v>
      </c>
      <c r="D173" s="5">
        <f t="shared" si="15"/>
        <v>1813.9236111111295</v>
      </c>
      <c r="E173" s="6">
        <f t="shared" si="16"/>
        <v>1416.6666666666667</v>
      </c>
      <c r="F173" s="10"/>
      <c r="G173" s="4"/>
      <c r="H173" s="6"/>
    </row>
    <row r="174" spans="1:8" x14ac:dyDescent="0.2">
      <c r="A174" s="2">
        <v>162</v>
      </c>
      <c r="B174" s="9">
        <f t="shared" si="14"/>
        <v>13</v>
      </c>
      <c r="C174" s="4">
        <f t="shared" si="17"/>
        <v>620500.00000000629</v>
      </c>
      <c r="D174" s="5">
        <f t="shared" si="15"/>
        <v>1809.7916666666852</v>
      </c>
      <c r="E174" s="6">
        <f t="shared" si="16"/>
        <v>1416.6666666666667</v>
      </c>
      <c r="F174" s="10"/>
      <c r="G174" s="4"/>
      <c r="H174" s="6"/>
    </row>
    <row r="175" spans="1:8" x14ac:dyDescent="0.2">
      <c r="A175" s="2">
        <v>163</v>
      </c>
      <c r="B175" s="9">
        <f t="shared" si="14"/>
        <v>13</v>
      </c>
      <c r="C175" s="4">
        <f t="shared" si="17"/>
        <v>619083.33333333966</v>
      </c>
      <c r="D175" s="5">
        <f t="shared" si="15"/>
        <v>1805.6597222222408</v>
      </c>
      <c r="E175" s="6">
        <f t="shared" si="16"/>
        <v>1416.6666666666667</v>
      </c>
      <c r="F175" s="10"/>
      <c r="G175" s="4"/>
      <c r="H175" s="6"/>
    </row>
    <row r="176" spans="1:8" x14ac:dyDescent="0.2">
      <c r="A176" s="2">
        <v>164</v>
      </c>
      <c r="B176" s="9">
        <f t="shared" si="14"/>
        <v>13</v>
      </c>
      <c r="C176" s="4">
        <f t="shared" si="17"/>
        <v>617666.66666667303</v>
      </c>
      <c r="D176" s="5">
        <f t="shared" si="15"/>
        <v>1801.5277777777965</v>
      </c>
      <c r="E176" s="6">
        <f t="shared" si="16"/>
        <v>1416.6666666666667</v>
      </c>
      <c r="F176" s="10"/>
      <c r="G176" s="4"/>
      <c r="H176" s="6"/>
    </row>
    <row r="177" spans="1:8" x14ac:dyDescent="0.2">
      <c r="A177" s="2">
        <v>165</v>
      </c>
      <c r="B177" s="9">
        <f t="shared" si="14"/>
        <v>13</v>
      </c>
      <c r="C177" s="4">
        <f t="shared" si="17"/>
        <v>616250.0000000064</v>
      </c>
      <c r="D177" s="5">
        <f t="shared" si="15"/>
        <v>1797.3958333333521</v>
      </c>
      <c r="E177" s="6">
        <f t="shared" si="16"/>
        <v>1416.6666666666667</v>
      </c>
      <c r="F177" s="10"/>
      <c r="G177" s="4"/>
      <c r="H177" s="6"/>
    </row>
    <row r="178" spans="1:8" x14ac:dyDescent="0.2">
      <c r="A178" s="2">
        <v>166</v>
      </c>
      <c r="B178" s="9">
        <f t="shared" si="14"/>
        <v>13</v>
      </c>
      <c r="C178" s="4">
        <f t="shared" si="17"/>
        <v>614833.33333333977</v>
      </c>
      <c r="D178" s="5">
        <f t="shared" si="15"/>
        <v>1793.2638888889078</v>
      </c>
      <c r="E178" s="6">
        <f t="shared" si="16"/>
        <v>1416.6666666666667</v>
      </c>
      <c r="F178" s="10"/>
      <c r="G178" s="4"/>
      <c r="H178" s="6"/>
    </row>
    <row r="179" spans="1:8" x14ac:dyDescent="0.2">
      <c r="A179" s="2">
        <v>167</v>
      </c>
      <c r="B179" s="9">
        <f t="shared" si="14"/>
        <v>13</v>
      </c>
      <c r="C179" s="4">
        <f t="shared" si="17"/>
        <v>613416.66666667315</v>
      </c>
      <c r="D179" s="5">
        <f t="shared" si="15"/>
        <v>1789.1319444444634</v>
      </c>
      <c r="E179" s="6">
        <f t="shared" si="16"/>
        <v>1416.6666666666667</v>
      </c>
      <c r="F179" s="10"/>
      <c r="G179" s="4"/>
      <c r="H179" s="6"/>
    </row>
    <row r="180" spans="1:8" x14ac:dyDescent="0.2">
      <c r="A180" s="2">
        <v>168</v>
      </c>
      <c r="B180" s="9">
        <f t="shared" si="14"/>
        <v>14</v>
      </c>
      <c r="C180" s="4">
        <f t="shared" si="17"/>
        <v>612000.00000000652</v>
      </c>
      <c r="D180" s="5">
        <f t="shared" si="15"/>
        <v>1785.0000000000191</v>
      </c>
      <c r="E180" s="6">
        <f t="shared" si="16"/>
        <v>1416.6666666666667</v>
      </c>
      <c r="F180" s="10"/>
      <c r="G180" s="4"/>
      <c r="H180" s="6"/>
    </row>
    <row r="181" spans="1:8" x14ac:dyDescent="0.2">
      <c r="A181" s="2">
        <v>169</v>
      </c>
      <c r="B181" s="9">
        <f t="shared" si="14"/>
        <v>14</v>
      </c>
      <c r="C181" s="4">
        <f t="shared" si="17"/>
        <v>610583.33333333989</v>
      </c>
      <c r="D181" s="5">
        <f t="shared" si="15"/>
        <v>1780.8680555555748</v>
      </c>
      <c r="E181" s="6">
        <f t="shared" si="16"/>
        <v>1416.6666666666667</v>
      </c>
      <c r="F181" s="10"/>
      <c r="G181" s="4"/>
      <c r="H181" s="6"/>
    </row>
    <row r="182" spans="1:8" x14ac:dyDescent="0.2">
      <c r="A182" s="2">
        <v>170</v>
      </c>
      <c r="B182" s="9">
        <f t="shared" si="14"/>
        <v>14</v>
      </c>
      <c r="C182" s="4">
        <f t="shared" si="17"/>
        <v>609166.66666667326</v>
      </c>
      <c r="D182" s="5">
        <f t="shared" si="15"/>
        <v>1776.7361111111304</v>
      </c>
      <c r="E182" s="6">
        <f t="shared" si="16"/>
        <v>1416.6666666666667</v>
      </c>
      <c r="F182" s="10"/>
      <c r="G182" s="4"/>
      <c r="H182" s="6"/>
    </row>
    <row r="183" spans="1:8" x14ac:dyDescent="0.2">
      <c r="A183" s="2">
        <v>171</v>
      </c>
      <c r="B183" s="9">
        <f t="shared" si="14"/>
        <v>14</v>
      </c>
      <c r="C183" s="4">
        <f t="shared" si="17"/>
        <v>607750.00000000664</v>
      </c>
      <c r="D183" s="5">
        <f t="shared" si="15"/>
        <v>1772.6041666666861</v>
      </c>
      <c r="E183" s="6">
        <f t="shared" si="16"/>
        <v>1416.6666666666667</v>
      </c>
      <c r="F183" s="10"/>
      <c r="G183" s="4"/>
      <c r="H183" s="6"/>
    </row>
    <row r="184" spans="1:8" x14ac:dyDescent="0.2">
      <c r="A184" s="2">
        <v>172</v>
      </c>
      <c r="B184" s="9">
        <f t="shared" si="14"/>
        <v>14</v>
      </c>
      <c r="C184" s="4">
        <f t="shared" si="17"/>
        <v>606333.33333334001</v>
      </c>
      <c r="D184" s="5">
        <f t="shared" si="15"/>
        <v>1768.4722222222417</v>
      </c>
      <c r="E184" s="6">
        <f t="shared" si="16"/>
        <v>1416.6666666666667</v>
      </c>
      <c r="F184" s="10"/>
      <c r="G184" s="4"/>
      <c r="H184" s="6"/>
    </row>
    <row r="185" spans="1:8" x14ac:dyDescent="0.2">
      <c r="A185" s="2">
        <v>173</v>
      </c>
      <c r="B185" s="9">
        <f t="shared" si="14"/>
        <v>14</v>
      </c>
      <c r="C185" s="4">
        <f t="shared" si="17"/>
        <v>604916.66666667338</v>
      </c>
      <c r="D185" s="5">
        <f t="shared" si="15"/>
        <v>1764.3402777777974</v>
      </c>
      <c r="E185" s="6">
        <f t="shared" si="16"/>
        <v>1416.6666666666667</v>
      </c>
      <c r="F185" s="10"/>
      <c r="G185" s="4"/>
      <c r="H185" s="6"/>
    </row>
    <row r="186" spans="1:8" x14ac:dyDescent="0.2">
      <c r="A186" s="2">
        <v>174</v>
      </c>
      <c r="B186" s="9">
        <f t="shared" si="14"/>
        <v>14</v>
      </c>
      <c r="C186" s="4">
        <f t="shared" si="17"/>
        <v>603500.00000000675</v>
      </c>
      <c r="D186" s="5">
        <f t="shared" si="15"/>
        <v>1760.2083333333533</v>
      </c>
      <c r="E186" s="6">
        <f t="shared" si="16"/>
        <v>1416.6666666666667</v>
      </c>
      <c r="F186" s="10"/>
      <c r="G186" s="4"/>
      <c r="H186" s="6"/>
    </row>
    <row r="187" spans="1:8" x14ac:dyDescent="0.2">
      <c r="A187" s="2">
        <v>175</v>
      </c>
      <c r="B187" s="9">
        <f t="shared" si="14"/>
        <v>14</v>
      </c>
      <c r="C187" s="4">
        <f t="shared" si="17"/>
        <v>602083.33333334012</v>
      </c>
      <c r="D187" s="5">
        <f t="shared" si="15"/>
        <v>1756.0763888889089</v>
      </c>
      <c r="E187" s="6">
        <f t="shared" si="16"/>
        <v>1416.6666666666667</v>
      </c>
      <c r="F187" s="10"/>
      <c r="G187" s="4"/>
      <c r="H187" s="6"/>
    </row>
    <row r="188" spans="1:8" x14ac:dyDescent="0.2">
      <c r="A188" s="2">
        <v>176</v>
      </c>
      <c r="B188" s="9">
        <f t="shared" si="14"/>
        <v>14</v>
      </c>
      <c r="C188" s="4">
        <f t="shared" si="17"/>
        <v>600666.6666666735</v>
      </c>
      <c r="D188" s="5">
        <f t="shared" si="15"/>
        <v>1751.9444444444646</v>
      </c>
      <c r="E188" s="6">
        <f t="shared" si="16"/>
        <v>1416.6666666666667</v>
      </c>
      <c r="F188" s="10"/>
      <c r="G188" s="4"/>
      <c r="H188" s="6"/>
    </row>
    <row r="189" spans="1:8" x14ac:dyDescent="0.2">
      <c r="A189" s="2">
        <v>177</v>
      </c>
      <c r="B189" s="9">
        <f t="shared" si="14"/>
        <v>14</v>
      </c>
      <c r="C189" s="4">
        <f t="shared" si="17"/>
        <v>599250.00000000687</v>
      </c>
      <c r="D189" s="5">
        <f t="shared" si="15"/>
        <v>1747.8125000000202</v>
      </c>
      <c r="E189" s="6">
        <f t="shared" si="16"/>
        <v>1416.6666666666667</v>
      </c>
      <c r="F189" s="10"/>
      <c r="G189" s="4"/>
      <c r="H189" s="6"/>
    </row>
    <row r="190" spans="1:8" x14ac:dyDescent="0.2">
      <c r="A190" s="2">
        <v>178</v>
      </c>
      <c r="B190" s="9">
        <f t="shared" si="14"/>
        <v>14</v>
      </c>
      <c r="C190" s="4">
        <f t="shared" si="17"/>
        <v>597833.33333334024</v>
      </c>
      <c r="D190" s="5">
        <f t="shared" si="15"/>
        <v>1743.6805555555759</v>
      </c>
      <c r="E190" s="6">
        <f t="shared" si="16"/>
        <v>1416.6666666666667</v>
      </c>
      <c r="F190" s="10"/>
      <c r="G190" s="4"/>
      <c r="H190" s="6"/>
    </row>
    <row r="191" spans="1:8" x14ac:dyDescent="0.2">
      <c r="A191" s="2">
        <v>179</v>
      </c>
      <c r="B191" s="9">
        <f t="shared" si="14"/>
        <v>14</v>
      </c>
      <c r="C191" s="4">
        <f t="shared" si="17"/>
        <v>596416.66666667361</v>
      </c>
      <c r="D191" s="5">
        <f t="shared" si="15"/>
        <v>1739.5486111111315</v>
      </c>
      <c r="E191" s="6">
        <f t="shared" si="16"/>
        <v>1416.6666666666667</v>
      </c>
      <c r="F191" s="10"/>
      <c r="G191" s="4"/>
      <c r="H191" s="6"/>
    </row>
    <row r="192" spans="1:8" x14ac:dyDescent="0.2">
      <c r="A192" s="2">
        <v>180</v>
      </c>
      <c r="B192" s="9">
        <f t="shared" si="14"/>
        <v>15</v>
      </c>
      <c r="C192" s="4">
        <f t="shared" si="17"/>
        <v>595000.00000000698</v>
      </c>
      <c r="D192" s="5">
        <f t="shared" si="15"/>
        <v>1735.4166666666872</v>
      </c>
      <c r="E192" s="6">
        <f t="shared" si="16"/>
        <v>1416.6666666666667</v>
      </c>
      <c r="F192" s="10"/>
      <c r="G192" s="4"/>
      <c r="H192" s="6"/>
    </row>
    <row r="193" spans="1:8" x14ac:dyDescent="0.2">
      <c r="A193" s="2">
        <v>181</v>
      </c>
      <c r="B193" s="9">
        <f t="shared" si="14"/>
        <v>15</v>
      </c>
      <c r="C193" s="4">
        <f t="shared" si="17"/>
        <v>593583.33333334036</v>
      </c>
      <c r="D193" s="5">
        <f t="shared" si="15"/>
        <v>1731.2847222222429</v>
      </c>
      <c r="E193" s="6">
        <f t="shared" si="16"/>
        <v>1416.6666666666667</v>
      </c>
      <c r="F193" s="10"/>
      <c r="G193" s="4"/>
      <c r="H193" s="6"/>
    </row>
    <row r="194" spans="1:8" x14ac:dyDescent="0.2">
      <c r="A194" s="2">
        <v>182</v>
      </c>
      <c r="B194" s="9">
        <f t="shared" si="14"/>
        <v>15</v>
      </c>
      <c r="C194" s="4">
        <f t="shared" si="17"/>
        <v>592166.66666667373</v>
      </c>
      <c r="D194" s="5">
        <f t="shared" si="15"/>
        <v>1727.1527777777985</v>
      </c>
      <c r="E194" s="6">
        <f t="shared" si="16"/>
        <v>1416.6666666666667</v>
      </c>
      <c r="F194" s="10"/>
      <c r="G194" s="4"/>
      <c r="H194" s="6"/>
    </row>
    <row r="195" spans="1:8" x14ac:dyDescent="0.2">
      <c r="A195" s="2">
        <v>183</v>
      </c>
      <c r="B195" s="9">
        <f t="shared" si="14"/>
        <v>15</v>
      </c>
      <c r="C195" s="4">
        <f t="shared" si="17"/>
        <v>590750.0000000071</v>
      </c>
      <c r="D195" s="5">
        <f t="shared" si="15"/>
        <v>1723.0208333333542</v>
      </c>
      <c r="E195" s="6">
        <f t="shared" si="16"/>
        <v>1416.6666666666667</v>
      </c>
      <c r="F195" s="10"/>
      <c r="G195" s="4"/>
      <c r="H195" s="6"/>
    </row>
    <row r="196" spans="1:8" x14ac:dyDescent="0.2">
      <c r="A196" s="2">
        <v>184</v>
      </c>
      <c r="B196" s="9">
        <f t="shared" si="14"/>
        <v>15</v>
      </c>
      <c r="C196" s="4">
        <f t="shared" si="17"/>
        <v>589333.33333334047</v>
      </c>
      <c r="D196" s="5">
        <f t="shared" si="15"/>
        <v>1718.8888888889098</v>
      </c>
      <c r="E196" s="6">
        <f t="shared" si="16"/>
        <v>1416.6666666666667</v>
      </c>
      <c r="F196" s="10"/>
      <c r="G196" s="4"/>
      <c r="H196" s="6"/>
    </row>
    <row r="197" spans="1:8" x14ac:dyDescent="0.2">
      <c r="A197" s="2">
        <v>185</v>
      </c>
      <c r="B197" s="9">
        <f t="shared" si="14"/>
        <v>15</v>
      </c>
      <c r="C197" s="4">
        <f t="shared" si="17"/>
        <v>587916.66666667385</v>
      </c>
      <c r="D197" s="5">
        <f t="shared" si="15"/>
        <v>1714.7569444444655</v>
      </c>
      <c r="E197" s="6">
        <f t="shared" si="16"/>
        <v>1416.6666666666667</v>
      </c>
      <c r="F197" s="10"/>
      <c r="G197" s="4"/>
      <c r="H197" s="6"/>
    </row>
    <row r="198" spans="1:8" x14ac:dyDescent="0.2">
      <c r="A198" s="2">
        <v>186</v>
      </c>
      <c r="B198" s="9">
        <f t="shared" si="14"/>
        <v>15</v>
      </c>
      <c r="C198" s="4">
        <f t="shared" si="17"/>
        <v>586500.00000000722</v>
      </c>
      <c r="D198" s="5">
        <f t="shared" si="15"/>
        <v>1710.6250000000211</v>
      </c>
      <c r="E198" s="6">
        <f t="shared" si="16"/>
        <v>1416.6666666666667</v>
      </c>
      <c r="F198" s="10"/>
      <c r="G198" s="4"/>
      <c r="H198" s="6"/>
    </row>
    <row r="199" spans="1:8" x14ac:dyDescent="0.2">
      <c r="A199" s="2">
        <v>187</v>
      </c>
      <c r="B199" s="9">
        <f t="shared" si="14"/>
        <v>15</v>
      </c>
      <c r="C199" s="4">
        <f t="shared" si="17"/>
        <v>585083.33333334059</v>
      </c>
      <c r="D199" s="5">
        <f t="shared" si="15"/>
        <v>1706.4930555555768</v>
      </c>
      <c r="E199" s="6">
        <f t="shared" si="16"/>
        <v>1416.6666666666667</v>
      </c>
      <c r="F199" s="10"/>
      <c r="G199" s="4"/>
      <c r="H199" s="6"/>
    </row>
    <row r="200" spans="1:8" x14ac:dyDescent="0.2">
      <c r="A200" s="2">
        <v>188</v>
      </c>
      <c r="B200" s="9">
        <f t="shared" si="14"/>
        <v>15</v>
      </c>
      <c r="C200" s="4">
        <f t="shared" si="17"/>
        <v>583666.66666667396</v>
      </c>
      <c r="D200" s="5">
        <f t="shared" si="15"/>
        <v>1702.3611111111325</v>
      </c>
      <c r="E200" s="6">
        <f t="shared" si="16"/>
        <v>1416.6666666666667</v>
      </c>
      <c r="F200" s="10"/>
      <c r="G200" s="4"/>
      <c r="H200" s="6"/>
    </row>
    <row r="201" spans="1:8" x14ac:dyDescent="0.2">
      <c r="A201" s="2">
        <v>189</v>
      </c>
      <c r="B201" s="9">
        <f t="shared" si="14"/>
        <v>15</v>
      </c>
      <c r="C201" s="4">
        <f t="shared" si="17"/>
        <v>582250.00000000733</v>
      </c>
      <c r="D201" s="5">
        <f t="shared" si="15"/>
        <v>1698.2291666666881</v>
      </c>
      <c r="E201" s="6">
        <f t="shared" si="16"/>
        <v>1416.6666666666667</v>
      </c>
      <c r="F201" s="10"/>
      <c r="G201" s="4"/>
      <c r="H201" s="6"/>
    </row>
    <row r="202" spans="1:8" x14ac:dyDescent="0.2">
      <c r="A202" s="2">
        <v>190</v>
      </c>
      <c r="B202" s="9">
        <f t="shared" si="14"/>
        <v>15</v>
      </c>
      <c r="C202" s="4">
        <f t="shared" si="17"/>
        <v>580833.33333334071</v>
      </c>
      <c r="D202" s="5">
        <f t="shared" si="15"/>
        <v>1694.0972222222438</v>
      </c>
      <c r="E202" s="6">
        <f t="shared" si="16"/>
        <v>1416.6666666666667</v>
      </c>
      <c r="F202" s="10"/>
      <c r="G202" s="4"/>
      <c r="H202" s="6"/>
    </row>
    <row r="203" spans="1:8" x14ac:dyDescent="0.2">
      <c r="A203" s="2">
        <v>191</v>
      </c>
      <c r="B203" s="9">
        <f t="shared" si="14"/>
        <v>15</v>
      </c>
      <c r="C203" s="4">
        <f t="shared" si="17"/>
        <v>579416.66666667408</v>
      </c>
      <c r="D203" s="5">
        <f t="shared" si="15"/>
        <v>1689.9652777777994</v>
      </c>
      <c r="E203" s="6">
        <f t="shared" si="16"/>
        <v>1416.6666666666667</v>
      </c>
      <c r="F203" s="10"/>
      <c r="G203" s="4"/>
      <c r="H203" s="6"/>
    </row>
    <row r="204" spans="1:8" x14ac:dyDescent="0.2">
      <c r="A204" s="2">
        <v>192</v>
      </c>
      <c r="B204" s="9">
        <f t="shared" ref="B204:B267" si="18">ROUNDDOWN(A204/$B$4,0)</f>
        <v>16</v>
      </c>
      <c r="C204" s="4">
        <f t="shared" si="17"/>
        <v>578000.00000000745</v>
      </c>
      <c r="D204" s="5">
        <f t="shared" si="15"/>
        <v>1685.8333333333551</v>
      </c>
      <c r="E204" s="6">
        <f t="shared" si="16"/>
        <v>1416.6666666666667</v>
      </c>
      <c r="F204" s="10"/>
      <c r="G204" s="4"/>
      <c r="H204" s="6"/>
    </row>
    <row r="205" spans="1:8" x14ac:dyDescent="0.2">
      <c r="A205" s="2">
        <v>193</v>
      </c>
      <c r="B205" s="9">
        <f t="shared" si="18"/>
        <v>16</v>
      </c>
      <c r="C205" s="4">
        <f t="shared" si="17"/>
        <v>576583.33333334082</v>
      </c>
      <c r="D205" s="5">
        <f t="shared" ref="D205:D268" si="19">$B$2*C205/$B$4</f>
        <v>1681.7013888889107</v>
      </c>
      <c r="E205" s="6">
        <f t="shared" ref="E205:E268" si="20">$B$7</f>
        <v>1416.6666666666667</v>
      </c>
      <c r="F205" s="10"/>
      <c r="G205" s="4"/>
      <c r="H205" s="6"/>
    </row>
    <row r="206" spans="1:8" x14ac:dyDescent="0.2">
      <c r="A206" s="2">
        <v>194</v>
      </c>
      <c r="B206" s="9">
        <f t="shared" si="18"/>
        <v>16</v>
      </c>
      <c r="C206" s="4">
        <f t="shared" ref="C206:C269" si="21">C205-E205</f>
        <v>575166.66666667419</v>
      </c>
      <c r="D206" s="5">
        <f t="shared" si="19"/>
        <v>1677.5694444444664</v>
      </c>
      <c r="E206" s="6">
        <f t="shared" si="20"/>
        <v>1416.6666666666667</v>
      </c>
      <c r="F206" s="10"/>
      <c r="G206" s="4"/>
      <c r="H206" s="6"/>
    </row>
    <row r="207" spans="1:8" x14ac:dyDescent="0.2">
      <c r="A207" s="2">
        <v>195</v>
      </c>
      <c r="B207" s="9">
        <f t="shared" si="18"/>
        <v>16</v>
      </c>
      <c r="C207" s="4">
        <f t="shared" si="21"/>
        <v>573750.00000000757</v>
      </c>
      <c r="D207" s="5">
        <f t="shared" si="19"/>
        <v>1673.4375000000221</v>
      </c>
      <c r="E207" s="6">
        <f t="shared" si="20"/>
        <v>1416.6666666666667</v>
      </c>
      <c r="F207" s="10"/>
      <c r="G207" s="4"/>
      <c r="H207" s="6"/>
    </row>
    <row r="208" spans="1:8" x14ac:dyDescent="0.2">
      <c r="A208" s="2">
        <v>196</v>
      </c>
      <c r="B208" s="9">
        <f t="shared" si="18"/>
        <v>16</v>
      </c>
      <c r="C208" s="4">
        <f t="shared" si="21"/>
        <v>572333.33333334094</v>
      </c>
      <c r="D208" s="5">
        <f t="shared" si="19"/>
        <v>1669.3055555555777</v>
      </c>
      <c r="E208" s="6">
        <f t="shared" si="20"/>
        <v>1416.6666666666667</v>
      </c>
      <c r="F208" s="10"/>
      <c r="G208" s="4"/>
      <c r="H208" s="6"/>
    </row>
    <row r="209" spans="1:8" x14ac:dyDescent="0.2">
      <c r="A209" s="2">
        <v>197</v>
      </c>
      <c r="B209" s="9">
        <f t="shared" si="18"/>
        <v>16</v>
      </c>
      <c r="C209" s="4">
        <f t="shared" si="21"/>
        <v>570916.66666667431</v>
      </c>
      <c r="D209" s="5">
        <f t="shared" si="19"/>
        <v>1665.1736111111334</v>
      </c>
      <c r="E209" s="6">
        <f t="shared" si="20"/>
        <v>1416.6666666666667</v>
      </c>
      <c r="F209" s="10"/>
      <c r="G209" s="4"/>
      <c r="H209" s="6"/>
    </row>
    <row r="210" spans="1:8" x14ac:dyDescent="0.2">
      <c r="A210" s="2">
        <v>198</v>
      </c>
      <c r="B210" s="9">
        <f t="shared" si="18"/>
        <v>16</v>
      </c>
      <c r="C210" s="4">
        <f t="shared" si="21"/>
        <v>569500.00000000768</v>
      </c>
      <c r="D210" s="5">
        <f t="shared" si="19"/>
        <v>1661.041666666689</v>
      </c>
      <c r="E210" s="6">
        <f t="shared" si="20"/>
        <v>1416.6666666666667</v>
      </c>
      <c r="F210" s="10"/>
      <c r="G210" s="4"/>
      <c r="H210" s="6"/>
    </row>
    <row r="211" spans="1:8" x14ac:dyDescent="0.2">
      <c r="A211" s="2">
        <v>199</v>
      </c>
      <c r="B211" s="9">
        <f t="shared" si="18"/>
        <v>16</v>
      </c>
      <c r="C211" s="4">
        <f t="shared" si="21"/>
        <v>568083.33333334106</v>
      </c>
      <c r="D211" s="5">
        <f t="shared" si="19"/>
        <v>1656.9097222222447</v>
      </c>
      <c r="E211" s="6">
        <f t="shared" si="20"/>
        <v>1416.6666666666667</v>
      </c>
      <c r="F211" s="10"/>
      <c r="G211" s="4"/>
      <c r="H211" s="6"/>
    </row>
    <row r="212" spans="1:8" x14ac:dyDescent="0.2">
      <c r="A212" s="2">
        <v>200</v>
      </c>
      <c r="B212" s="9">
        <f t="shared" si="18"/>
        <v>16</v>
      </c>
      <c r="C212" s="4">
        <f t="shared" si="21"/>
        <v>566666.66666667443</v>
      </c>
      <c r="D212" s="5">
        <f t="shared" si="19"/>
        <v>1652.7777777778008</v>
      </c>
      <c r="E212" s="6">
        <f t="shared" si="20"/>
        <v>1416.6666666666667</v>
      </c>
      <c r="F212" s="10"/>
      <c r="G212" s="4"/>
      <c r="H212" s="6"/>
    </row>
    <row r="213" spans="1:8" x14ac:dyDescent="0.2">
      <c r="A213" s="2">
        <v>201</v>
      </c>
      <c r="B213" s="9">
        <f t="shared" si="18"/>
        <v>16</v>
      </c>
      <c r="C213" s="4">
        <f t="shared" si="21"/>
        <v>565250.0000000078</v>
      </c>
      <c r="D213" s="5">
        <f t="shared" si="19"/>
        <v>1648.6458333333564</v>
      </c>
      <c r="E213" s="6">
        <f t="shared" si="20"/>
        <v>1416.6666666666667</v>
      </c>
      <c r="F213" s="10"/>
      <c r="G213" s="4"/>
      <c r="H213" s="6"/>
    </row>
    <row r="214" spans="1:8" x14ac:dyDescent="0.2">
      <c r="A214" s="2">
        <v>202</v>
      </c>
      <c r="B214" s="9">
        <f t="shared" si="18"/>
        <v>16</v>
      </c>
      <c r="C214" s="4">
        <f t="shared" si="21"/>
        <v>563833.33333334117</v>
      </c>
      <c r="D214" s="5">
        <f t="shared" si="19"/>
        <v>1644.5138888889121</v>
      </c>
      <c r="E214" s="6">
        <f t="shared" si="20"/>
        <v>1416.6666666666667</v>
      </c>
      <c r="F214" s="10"/>
      <c r="G214" s="4"/>
      <c r="H214" s="6"/>
    </row>
    <row r="215" spans="1:8" x14ac:dyDescent="0.2">
      <c r="A215" s="2">
        <v>203</v>
      </c>
      <c r="B215" s="9">
        <f t="shared" si="18"/>
        <v>16</v>
      </c>
      <c r="C215" s="4">
        <f t="shared" si="21"/>
        <v>562416.66666667454</v>
      </c>
      <c r="D215" s="5">
        <f t="shared" si="19"/>
        <v>1640.3819444444678</v>
      </c>
      <c r="E215" s="6">
        <f t="shared" si="20"/>
        <v>1416.6666666666667</v>
      </c>
      <c r="F215" s="10"/>
      <c r="G215" s="4"/>
      <c r="H215" s="6"/>
    </row>
    <row r="216" spans="1:8" x14ac:dyDescent="0.2">
      <c r="A216" s="2">
        <v>204</v>
      </c>
      <c r="B216" s="9">
        <f t="shared" si="18"/>
        <v>17</v>
      </c>
      <c r="C216" s="4">
        <f t="shared" si="21"/>
        <v>561000.00000000792</v>
      </c>
      <c r="D216" s="5">
        <f t="shared" si="19"/>
        <v>1636.2500000000234</v>
      </c>
      <c r="E216" s="6">
        <f t="shared" si="20"/>
        <v>1416.6666666666667</v>
      </c>
      <c r="F216" s="10"/>
      <c r="G216" s="4"/>
      <c r="H216" s="6"/>
    </row>
    <row r="217" spans="1:8" x14ac:dyDescent="0.2">
      <c r="A217" s="2">
        <v>205</v>
      </c>
      <c r="B217" s="9">
        <f t="shared" si="18"/>
        <v>17</v>
      </c>
      <c r="C217" s="4">
        <f t="shared" si="21"/>
        <v>559583.33333334129</v>
      </c>
      <c r="D217" s="5">
        <f t="shared" si="19"/>
        <v>1632.1180555555791</v>
      </c>
      <c r="E217" s="6">
        <f t="shared" si="20"/>
        <v>1416.6666666666667</v>
      </c>
      <c r="F217" s="10"/>
      <c r="G217" s="4"/>
      <c r="H217" s="6"/>
    </row>
    <row r="218" spans="1:8" x14ac:dyDescent="0.2">
      <c r="A218" s="2">
        <v>206</v>
      </c>
      <c r="B218" s="9">
        <f t="shared" si="18"/>
        <v>17</v>
      </c>
      <c r="C218" s="4">
        <f t="shared" si="21"/>
        <v>558166.66666667466</v>
      </c>
      <c r="D218" s="5">
        <f t="shared" si="19"/>
        <v>1627.9861111111347</v>
      </c>
      <c r="E218" s="6">
        <f t="shared" si="20"/>
        <v>1416.6666666666667</v>
      </c>
      <c r="F218" s="10"/>
      <c r="G218" s="4"/>
      <c r="H218" s="6"/>
    </row>
    <row r="219" spans="1:8" x14ac:dyDescent="0.2">
      <c r="A219" s="2">
        <v>207</v>
      </c>
      <c r="B219" s="9">
        <f t="shared" si="18"/>
        <v>17</v>
      </c>
      <c r="C219" s="4">
        <f t="shared" si="21"/>
        <v>556750.00000000803</v>
      </c>
      <c r="D219" s="5">
        <f t="shared" si="19"/>
        <v>1623.8541666666904</v>
      </c>
      <c r="E219" s="6">
        <f t="shared" si="20"/>
        <v>1416.6666666666667</v>
      </c>
      <c r="F219" s="10"/>
      <c r="G219" s="4"/>
      <c r="H219" s="6"/>
    </row>
    <row r="220" spans="1:8" x14ac:dyDescent="0.2">
      <c r="A220" s="2">
        <v>208</v>
      </c>
      <c r="B220" s="9">
        <f t="shared" si="18"/>
        <v>17</v>
      </c>
      <c r="C220" s="4">
        <f t="shared" si="21"/>
        <v>555333.3333333414</v>
      </c>
      <c r="D220" s="5">
        <f t="shared" si="19"/>
        <v>1619.722222222246</v>
      </c>
      <c r="E220" s="6">
        <f t="shared" si="20"/>
        <v>1416.6666666666667</v>
      </c>
      <c r="F220" s="10"/>
      <c r="G220" s="4"/>
      <c r="H220" s="6"/>
    </row>
    <row r="221" spans="1:8" x14ac:dyDescent="0.2">
      <c r="A221" s="2">
        <v>209</v>
      </c>
      <c r="B221" s="9">
        <f t="shared" si="18"/>
        <v>17</v>
      </c>
      <c r="C221" s="4">
        <f t="shared" si="21"/>
        <v>553916.66666667478</v>
      </c>
      <c r="D221" s="5">
        <f t="shared" si="19"/>
        <v>1615.5902777778017</v>
      </c>
      <c r="E221" s="6">
        <f t="shared" si="20"/>
        <v>1416.6666666666667</v>
      </c>
      <c r="F221" s="10"/>
      <c r="G221" s="4"/>
      <c r="H221" s="6"/>
    </row>
    <row r="222" spans="1:8" x14ac:dyDescent="0.2">
      <c r="A222" s="2">
        <v>210</v>
      </c>
      <c r="B222" s="9">
        <f t="shared" si="18"/>
        <v>17</v>
      </c>
      <c r="C222" s="4">
        <f t="shared" si="21"/>
        <v>552500.00000000815</v>
      </c>
      <c r="D222" s="5">
        <f t="shared" si="19"/>
        <v>1611.4583333333574</v>
      </c>
      <c r="E222" s="6">
        <f t="shared" si="20"/>
        <v>1416.6666666666667</v>
      </c>
      <c r="F222" s="10"/>
      <c r="G222" s="4"/>
      <c r="H222" s="6"/>
    </row>
    <row r="223" spans="1:8" x14ac:dyDescent="0.2">
      <c r="A223" s="2">
        <v>211</v>
      </c>
      <c r="B223" s="9">
        <f t="shared" si="18"/>
        <v>17</v>
      </c>
      <c r="C223" s="4">
        <f t="shared" si="21"/>
        <v>551083.33333334152</v>
      </c>
      <c r="D223" s="5">
        <f t="shared" si="19"/>
        <v>1607.326388888913</v>
      </c>
      <c r="E223" s="6">
        <f t="shared" si="20"/>
        <v>1416.6666666666667</v>
      </c>
      <c r="F223" s="10"/>
      <c r="G223" s="4"/>
      <c r="H223" s="6"/>
    </row>
    <row r="224" spans="1:8" x14ac:dyDescent="0.2">
      <c r="A224" s="2">
        <v>212</v>
      </c>
      <c r="B224" s="9">
        <f t="shared" si="18"/>
        <v>17</v>
      </c>
      <c r="C224" s="4">
        <f t="shared" si="21"/>
        <v>549666.66666667489</v>
      </c>
      <c r="D224" s="5">
        <f t="shared" si="19"/>
        <v>1603.1944444444687</v>
      </c>
      <c r="E224" s="6">
        <f t="shared" si="20"/>
        <v>1416.6666666666667</v>
      </c>
      <c r="F224" s="10"/>
      <c r="G224" s="4"/>
      <c r="H224" s="6"/>
    </row>
    <row r="225" spans="1:8" x14ac:dyDescent="0.2">
      <c r="A225" s="2">
        <v>213</v>
      </c>
      <c r="B225" s="9">
        <f t="shared" si="18"/>
        <v>17</v>
      </c>
      <c r="C225" s="4">
        <f t="shared" si="21"/>
        <v>548250.00000000827</v>
      </c>
      <c r="D225" s="5">
        <f t="shared" si="19"/>
        <v>1599.0625000000243</v>
      </c>
      <c r="E225" s="6">
        <f t="shared" si="20"/>
        <v>1416.6666666666667</v>
      </c>
      <c r="F225" s="10"/>
      <c r="G225" s="4"/>
      <c r="H225" s="6"/>
    </row>
    <row r="226" spans="1:8" x14ac:dyDescent="0.2">
      <c r="A226" s="2">
        <v>214</v>
      </c>
      <c r="B226" s="9">
        <f t="shared" si="18"/>
        <v>17</v>
      </c>
      <c r="C226" s="4">
        <f t="shared" si="21"/>
        <v>546833.33333334164</v>
      </c>
      <c r="D226" s="5">
        <f t="shared" si="19"/>
        <v>1594.93055555558</v>
      </c>
      <c r="E226" s="6">
        <f t="shared" si="20"/>
        <v>1416.6666666666667</v>
      </c>
      <c r="F226" s="10"/>
      <c r="G226" s="4"/>
      <c r="H226" s="6"/>
    </row>
    <row r="227" spans="1:8" x14ac:dyDescent="0.2">
      <c r="A227" s="2">
        <v>215</v>
      </c>
      <c r="B227" s="9">
        <f t="shared" si="18"/>
        <v>17</v>
      </c>
      <c r="C227" s="4">
        <f t="shared" si="21"/>
        <v>545416.66666667501</v>
      </c>
      <c r="D227" s="5">
        <f t="shared" si="19"/>
        <v>1590.7986111111356</v>
      </c>
      <c r="E227" s="6">
        <f t="shared" si="20"/>
        <v>1416.6666666666667</v>
      </c>
      <c r="F227" s="10"/>
      <c r="G227" s="4"/>
      <c r="H227" s="6"/>
    </row>
    <row r="228" spans="1:8" x14ac:dyDescent="0.2">
      <c r="A228" s="2">
        <v>216</v>
      </c>
      <c r="B228" s="9">
        <f t="shared" si="18"/>
        <v>18</v>
      </c>
      <c r="C228" s="4">
        <f t="shared" si="21"/>
        <v>544000.00000000838</v>
      </c>
      <c r="D228" s="5">
        <f t="shared" si="19"/>
        <v>1586.6666666666913</v>
      </c>
      <c r="E228" s="6">
        <f t="shared" si="20"/>
        <v>1416.6666666666667</v>
      </c>
      <c r="F228" s="10"/>
      <c r="G228" s="4"/>
      <c r="H228" s="6"/>
    </row>
    <row r="229" spans="1:8" x14ac:dyDescent="0.2">
      <c r="A229" s="2">
        <v>217</v>
      </c>
      <c r="B229" s="9">
        <f t="shared" si="18"/>
        <v>18</v>
      </c>
      <c r="C229" s="4">
        <f t="shared" si="21"/>
        <v>542583.33333334175</v>
      </c>
      <c r="D229" s="5">
        <f t="shared" si="19"/>
        <v>1582.534722222247</v>
      </c>
      <c r="E229" s="6">
        <f t="shared" si="20"/>
        <v>1416.6666666666667</v>
      </c>
      <c r="F229" s="10"/>
      <c r="G229" s="4"/>
      <c r="H229" s="6"/>
    </row>
    <row r="230" spans="1:8" x14ac:dyDescent="0.2">
      <c r="A230" s="2">
        <v>218</v>
      </c>
      <c r="B230" s="9">
        <f t="shared" si="18"/>
        <v>18</v>
      </c>
      <c r="C230" s="4">
        <f t="shared" si="21"/>
        <v>541166.66666667513</v>
      </c>
      <c r="D230" s="5">
        <f t="shared" si="19"/>
        <v>1578.4027777778026</v>
      </c>
      <c r="E230" s="6">
        <f t="shared" si="20"/>
        <v>1416.6666666666667</v>
      </c>
      <c r="F230" s="10"/>
      <c r="G230" s="4"/>
      <c r="H230" s="6"/>
    </row>
    <row r="231" spans="1:8" x14ac:dyDescent="0.2">
      <c r="A231" s="2">
        <v>219</v>
      </c>
      <c r="B231" s="9">
        <f t="shared" si="18"/>
        <v>18</v>
      </c>
      <c r="C231" s="4">
        <f t="shared" si="21"/>
        <v>539750.0000000085</v>
      </c>
      <c r="D231" s="5">
        <f t="shared" si="19"/>
        <v>1574.2708333333583</v>
      </c>
      <c r="E231" s="6">
        <f t="shared" si="20"/>
        <v>1416.6666666666667</v>
      </c>
      <c r="F231" s="10"/>
      <c r="G231" s="4"/>
      <c r="H231" s="6"/>
    </row>
    <row r="232" spans="1:8" x14ac:dyDescent="0.2">
      <c r="A232" s="2">
        <v>220</v>
      </c>
      <c r="B232" s="9">
        <f t="shared" si="18"/>
        <v>18</v>
      </c>
      <c r="C232" s="4">
        <f t="shared" si="21"/>
        <v>538333.33333334187</v>
      </c>
      <c r="D232" s="5">
        <f t="shared" si="19"/>
        <v>1570.1388888889139</v>
      </c>
      <c r="E232" s="6">
        <f t="shared" si="20"/>
        <v>1416.6666666666667</v>
      </c>
      <c r="F232" s="10"/>
      <c r="G232" s="4"/>
      <c r="H232" s="6"/>
    </row>
    <row r="233" spans="1:8" x14ac:dyDescent="0.2">
      <c r="A233" s="2">
        <v>221</v>
      </c>
      <c r="B233" s="9">
        <f t="shared" si="18"/>
        <v>18</v>
      </c>
      <c r="C233" s="4">
        <f t="shared" si="21"/>
        <v>536916.66666667524</v>
      </c>
      <c r="D233" s="5">
        <f t="shared" si="19"/>
        <v>1566.0069444444696</v>
      </c>
      <c r="E233" s="6">
        <f t="shared" si="20"/>
        <v>1416.6666666666667</v>
      </c>
      <c r="F233" s="10"/>
      <c r="G233" s="4"/>
      <c r="H233" s="6"/>
    </row>
    <row r="234" spans="1:8" x14ac:dyDescent="0.2">
      <c r="A234" s="2">
        <v>222</v>
      </c>
      <c r="B234" s="9">
        <f t="shared" si="18"/>
        <v>18</v>
      </c>
      <c r="C234" s="4">
        <f t="shared" si="21"/>
        <v>535500.00000000861</v>
      </c>
      <c r="D234" s="5">
        <f t="shared" si="19"/>
        <v>1561.8750000000252</v>
      </c>
      <c r="E234" s="6">
        <f t="shared" si="20"/>
        <v>1416.6666666666667</v>
      </c>
      <c r="F234" s="10"/>
      <c r="G234" s="4"/>
      <c r="H234" s="6"/>
    </row>
    <row r="235" spans="1:8" x14ac:dyDescent="0.2">
      <c r="A235" s="2">
        <v>223</v>
      </c>
      <c r="B235" s="9">
        <f t="shared" si="18"/>
        <v>18</v>
      </c>
      <c r="C235" s="4">
        <f t="shared" si="21"/>
        <v>534083.33333334199</v>
      </c>
      <c r="D235" s="5">
        <f t="shared" si="19"/>
        <v>1557.7430555555809</v>
      </c>
      <c r="E235" s="6">
        <f t="shared" si="20"/>
        <v>1416.6666666666667</v>
      </c>
      <c r="F235" s="10"/>
      <c r="G235" s="4"/>
      <c r="H235" s="6"/>
    </row>
    <row r="236" spans="1:8" x14ac:dyDescent="0.2">
      <c r="A236" s="2">
        <v>224</v>
      </c>
      <c r="B236" s="9">
        <f t="shared" si="18"/>
        <v>18</v>
      </c>
      <c r="C236" s="4">
        <f t="shared" si="21"/>
        <v>532666.66666667536</v>
      </c>
      <c r="D236" s="5">
        <f t="shared" si="19"/>
        <v>1553.6111111111366</v>
      </c>
      <c r="E236" s="6">
        <f t="shared" si="20"/>
        <v>1416.6666666666667</v>
      </c>
      <c r="F236" s="10"/>
      <c r="G236" s="4"/>
      <c r="H236" s="6"/>
    </row>
    <row r="237" spans="1:8" x14ac:dyDescent="0.2">
      <c r="A237" s="2">
        <v>225</v>
      </c>
      <c r="B237" s="9">
        <f t="shared" si="18"/>
        <v>18</v>
      </c>
      <c r="C237" s="4">
        <f t="shared" si="21"/>
        <v>531250.00000000873</v>
      </c>
      <c r="D237" s="5">
        <f t="shared" si="19"/>
        <v>1549.4791666666922</v>
      </c>
      <c r="E237" s="6">
        <f t="shared" si="20"/>
        <v>1416.6666666666667</v>
      </c>
      <c r="F237" s="10"/>
      <c r="G237" s="4"/>
      <c r="H237" s="6"/>
    </row>
    <row r="238" spans="1:8" x14ac:dyDescent="0.2">
      <c r="A238" s="2">
        <v>226</v>
      </c>
      <c r="B238" s="9">
        <f t="shared" si="18"/>
        <v>18</v>
      </c>
      <c r="C238" s="4">
        <f t="shared" si="21"/>
        <v>529833.3333333421</v>
      </c>
      <c r="D238" s="5">
        <f t="shared" si="19"/>
        <v>1545.3472222222481</v>
      </c>
      <c r="E238" s="6">
        <f t="shared" si="20"/>
        <v>1416.6666666666667</v>
      </c>
      <c r="F238" s="10"/>
      <c r="G238" s="4"/>
      <c r="H238" s="6"/>
    </row>
    <row r="239" spans="1:8" x14ac:dyDescent="0.2">
      <c r="A239" s="2">
        <v>227</v>
      </c>
      <c r="B239" s="9">
        <f t="shared" si="18"/>
        <v>18</v>
      </c>
      <c r="C239" s="4">
        <f t="shared" si="21"/>
        <v>528416.66666667548</v>
      </c>
      <c r="D239" s="5">
        <f t="shared" si="19"/>
        <v>1541.2152777778037</v>
      </c>
      <c r="E239" s="6">
        <f t="shared" si="20"/>
        <v>1416.6666666666667</v>
      </c>
      <c r="F239" s="10"/>
      <c r="G239" s="4"/>
      <c r="H239" s="6"/>
    </row>
    <row r="240" spans="1:8" x14ac:dyDescent="0.2">
      <c r="A240" s="2">
        <v>228</v>
      </c>
      <c r="B240" s="9">
        <f t="shared" si="18"/>
        <v>19</v>
      </c>
      <c r="C240" s="4">
        <f t="shared" si="21"/>
        <v>527000.00000000885</v>
      </c>
      <c r="D240" s="5">
        <f t="shared" si="19"/>
        <v>1537.0833333333594</v>
      </c>
      <c r="E240" s="6">
        <f t="shared" si="20"/>
        <v>1416.6666666666667</v>
      </c>
      <c r="F240" s="10"/>
      <c r="G240" s="4"/>
      <c r="H240" s="6"/>
    </row>
    <row r="241" spans="1:8" x14ac:dyDescent="0.2">
      <c r="A241" s="2">
        <v>229</v>
      </c>
      <c r="B241" s="9">
        <f t="shared" si="18"/>
        <v>19</v>
      </c>
      <c r="C241" s="4">
        <f t="shared" si="21"/>
        <v>525583.33333334222</v>
      </c>
      <c r="D241" s="5">
        <f t="shared" si="19"/>
        <v>1532.9513888889151</v>
      </c>
      <c r="E241" s="6">
        <f t="shared" si="20"/>
        <v>1416.6666666666667</v>
      </c>
      <c r="F241" s="10"/>
      <c r="G241" s="4"/>
      <c r="H241" s="6"/>
    </row>
    <row r="242" spans="1:8" x14ac:dyDescent="0.2">
      <c r="A242" s="2">
        <v>230</v>
      </c>
      <c r="B242" s="9">
        <f t="shared" si="18"/>
        <v>19</v>
      </c>
      <c r="C242" s="4">
        <f t="shared" si="21"/>
        <v>524166.66666667553</v>
      </c>
      <c r="D242" s="5">
        <f t="shared" si="19"/>
        <v>1528.8194444444705</v>
      </c>
      <c r="E242" s="6">
        <f t="shared" si="20"/>
        <v>1416.6666666666667</v>
      </c>
      <c r="F242" s="10"/>
      <c r="G242" s="4"/>
      <c r="H242" s="6"/>
    </row>
    <row r="243" spans="1:8" x14ac:dyDescent="0.2">
      <c r="A243" s="2">
        <v>231</v>
      </c>
      <c r="B243" s="9">
        <f t="shared" si="18"/>
        <v>19</v>
      </c>
      <c r="C243" s="4">
        <f t="shared" si="21"/>
        <v>522750.00000000885</v>
      </c>
      <c r="D243" s="5">
        <f t="shared" si="19"/>
        <v>1524.6875000000261</v>
      </c>
      <c r="E243" s="6">
        <f t="shared" si="20"/>
        <v>1416.6666666666667</v>
      </c>
      <c r="F243" s="10"/>
      <c r="G243" s="4"/>
      <c r="H243" s="6"/>
    </row>
    <row r="244" spans="1:8" x14ac:dyDescent="0.2">
      <c r="A244" s="2">
        <v>232</v>
      </c>
      <c r="B244" s="9">
        <f t="shared" si="18"/>
        <v>19</v>
      </c>
      <c r="C244" s="4">
        <f t="shared" si="21"/>
        <v>521333.33333334216</v>
      </c>
      <c r="D244" s="5">
        <f t="shared" si="19"/>
        <v>1520.5555555555813</v>
      </c>
      <c r="E244" s="6">
        <f t="shared" si="20"/>
        <v>1416.6666666666667</v>
      </c>
      <c r="F244" s="10"/>
      <c r="G244" s="4"/>
      <c r="H244" s="6"/>
    </row>
    <row r="245" spans="1:8" x14ac:dyDescent="0.2">
      <c r="A245" s="2">
        <v>233</v>
      </c>
      <c r="B245" s="9">
        <f t="shared" si="18"/>
        <v>19</v>
      </c>
      <c r="C245" s="4">
        <f t="shared" si="21"/>
        <v>519916.66666667548</v>
      </c>
      <c r="D245" s="5">
        <f t="shared" si="19"/>
        <v>1516.423611111137</v>
      </c>
      <c r="E245" s="6">
        <f t="shared" si="20"/>
        <v>1416.6666666666667</v>
      </c>
      <c r="F245" s="10"/>
      <c r="G245" s="4"/>
      <c r="H245" s="6"/>
    </row>
    <row r="246" spans="1:8" x14ac:dyDescent="0.2">
      <c r="A246" s="2">
        <v>234</v>
      </c>
      <c r="B246" s="9">
        <f t="shared" si="18"/>
        <v>19</v>
      </c>
      <c r="C246" s="4">
        <f t="shared" si="21"/>
        <v>518500.00000000879</v>
      </c>
      <c r="D246" s="5">
        <f t="shared" si="19"/>
        <v>1512.2916666666924</v>
      </c>
      <c r="E246" s="6">
        <f t="shared" si="20"/>
        <v>1416.6666666666667</v>
      </c>
      <c r="F246" s="10"/>
      <c r="G246" s="4"/>
      <c r="H246" s="6"/>
    </row>
    <row r="247" spans="1:8" x14ac:dyDescent="0.2">
      <c r="A247" s="2">
        <v>235</v>
      </c>
      <c r="B247" s="9">
        <f t="shared" si="18"/>
        <v>19</v>
      </c>
      <c r="C247" s="4">
        <f t="shared" si="21"/>
        <v>517083.3333333421</v>
      </c>
      <c r="D247" s="5">
        <f t="shared" si="19"/>
        <v>1508.1597222222481</v>
      </c>
      <c r="E247" s="6">
        <f t="shared" si="20"/>
        <v>1416.6666666666667</v>
      </c>
      <c r="F247" s="10"/>
      <c r="G247" s="4"/>
      <c r="H247" s="6"/>
    </row>
    <row r="248" spans="1:8" x14ac:dyDescent="0.2">
      <c r="A248" s="2">
        <v>236</v>
      </c>
      <c r="B248" s="9">
        <f t="shared" si="18"/>
        <v>19</v>
      </c>
      <c r="C248" s="4">
        <f t="shared" si="21"/>
        <v>515666.66666667542</v>
      </c>
      <c r="D248" s="5">
        <f t="shared" si="19"/>
        <v>1504.0277777778035</v>
      </c>
      <c r="E248" s="6">
        <f t="shared" si="20"/>
        <v>1416.6666666666667</v>
      </c>
      <c r="F248" s="10"/>
      <c r="G248" s="4"/>
      <c r="H248" s="6"/>
    </row>
    <row r="249" spans="1:8" x14ac:dyDescent="0.2">
      <c r="A249" s="2">
        <v>237</v>
      </c>
      <c r="B249" s="9">
        <f t="shared" si="18"/>
        <v>19</v>
      </c>
      <c r="C249" s="4">
        <f t="shared" si="21"/>
        <v>514250.00000000873</v>
      </c>
      <c r="D249" s="5">
        <f t="shared" si="19"/>
        <v>1499.8958333333587</v>
      </c>
      <c r="E249" s="6">
        <f t="shared" si="20"/>
        <v>1416.6666666666667</v>
      </c>
      <c r="F249" s="10"/>
      <c r="G249" s="4"/>
      <c r="H249" s="6"/>
    </row>
    <row r="250" spans="1:8" x14ac:dyDescent="0.2">
      <c r="A250" s="2">
        <v>238</v>
      </c>
      <c r="B250" s="9">
        <f t="shared" si="18"/>
        <v>19</v>
      </c>
      <c r="C250" s="4">
        <f t="shared" si="21"/>
        <v>512833.33333334205</v>
      </c>
      <c r="D250" s="5">
        <f t="shared" si="19"/>
        <v>1495.7638888889144</v>
      </c>
      <c r="E250" s="6">
        <f t="shared" si="20"/>
        <v>1416.6666666666667</v>
      </c>
      <c r="F250" s="10"/>
      <c r="G250" s="4"/>
      <c r="H250" s="6"/>
    </row>
    <row r="251" spans="1:8" x14ac:dyDescent="0.2">
      <c r="A251" s="2">
        <v>239</v>
      </c>
      <c r="B251" s="9">
        <f t="shared" si="18"/>
        <v>19</v>
      </c>
      <c r="C251" s="4">
        <f t="shared" si="21"/>
        <v>511416.66666667536</v>
      </c>
      <c r="D251" s="5">
        <f t="shared" si="19"/>
        <v>1491.6319444444698</v>
      </c>
      <c r="E251" s="6">
        <f t="shared" si="20"/>
        <v>1416.6666666666667</v>
      </c>
      <c r="F251" s="10"/>
      <c r="G251" s="4"/>
      <c r="H251" s="6"/>
    </row>
    <row r="252" spans="1:8" x14ac:dyDescent="0.2">
      <c r="A252" s="2">
        <v>240</v>
      </c>
      <c r="B252" s="9">
        <f t="shared" si="18"/>
        <v>20</v>
      </c>
      <c r="C252" s="4">
        <f t="shared" si="21"/>
        <v>510000.00000000867</v>
      </c>
      <c r="D252" s="5">
        <f t="shared" si="19"/>
        <v>1487.5000000000255</v>
      </c>
      <c r="E252" s="6">
        <f t="shared" si="20"/>
        <v>1416.6666666666667</v>
      </c>
      <c r="F252" s="10"/>
      <c r="G252" s="4"/>
      <c r="H252" s="6"/>
    </row>
    <row r="253" spans="1:8" x14ac:dyDescent="0.2">
      <c r="A253" s="2">
        <v>241</v>
      </c>
      <c r="B253" s="9">
        <f t="shared" si="18"/>
        <v>20</v>
      </c>
      <c r="C253" s="4">
        <f t="shared" si="21"/>
        <v>508583.33333334199</v>
      </c>
      <c r="D253" s="5">
        <f t="shared" si="19"/>
        <v>1483.3680555555809</v>
      </c>
      <c r="E253" s="6">
        <f t="shared" si="20"/>
        <v>1416.6666666666667</v>
      </c>
      <c r="F253" s="10"/>
      <c r="G253" s="4"/>
      <c r="H253" s="6"/>
    </row>
    <row r="254" spans="1:8" x14ac:dyDescent="0.2">
      <c r="A254" s="2">
        <v>242</v>
      </c>
      <c r="B254" s="9">
        <f t="shared" si="18"/>
        <v>20</v>
      </c>
      <c r="C254" s="4">
        <f t="shared" si="21"/>
        <v>507166.6666666753</v>
      </c>
      <c r="D254" s="5">
        <f t="shared" si="19"/>
        <v>1479.2361111111366</v>
      </c>
      <c r="E254" s="6">
        <f t="shared" si="20"/>
        <v>1416.6666666666667</v>
      </c>
      <c r="F254" s="10"/>
      <c r="G254" s="4"/>
      <c r="H254" s="6"/>
    </row>
    <row r="255" spans="1:8" x14ac:dyDescent="0.2">
      <c r="A255" s="2">
        <v>243</v>
      </c>
      <c r="B255" s="9">
        <f t="shared" si="18"/>
        <v>20</v>
      </c>
      <c r="C255" s="4">
        <f t="shared" si="21"/>
        <v>505750.00000000861</v>
      </c>
      <c r="D255" s="5">
        <f t="shared" si="19"/>
        <v>1475.1041666666918</v>
      </c>
      <c r="E255" s="6">
        <f t="shared" si="20"/>
        <v>1416.6666666666667</v>
      </c>
      <c r="F255" s="10"/>
      <c r="G255" s="4"/>
      <c r="H255" s="6"/>
    </row>
    <row r="256" spans="1:8" x14ac:dyDescent="0.2">
      <c r="A256" s="2">
        <v>244</v>
      </c>
      <c r="B256" s="9">
        <f t="shared" si="18"/>
        <v>20</v>
      </c>
      <c r="C256" s="4">
        <f t="shared" si="21"/>
        <v>504333.33333334193</v>
      </c>
      <c r="D256" s="5">
        <f t="shared" si="19"/>
        <v>1470.9722222222474</v>
      </c>
      <c r="E256" s="6">
        <f t="shared" si="20"/>
        <v>1416.6666666666667</v>
      </c>
      <c r="F256" s="10"/>
      <c r="G256" s="4"/>
      <c r="H256" s="6"/>
    </row>
    <row r="257" spans="1:8" x14ac:dyDescent="0.2">
      <c r="A257" s="2">
        <v>245</v>
      </c>
      <c r="B257" s="9">
        <f t="shared" si="18"/>
        <v>20</v>
      </c>
      <c r="C257" s="4">
        <f t="shared" si="21"/>
        <v>502916.66666667524</v>
      </c>
      <c r="D257" s="5">
        <f t="shared" si="19"/>
        <v>1466.8402777778028</v>
      </c>
      <c r="E257" s="6">
        <f t="shared" si="20"/>
        <v>1416.6666666666667</v>
      </c>
      <c r="F257" s="10"/>
      <c r="G257" s="4"/>
      <c r="H257" s="6"/>
    </row>
    <row r="258" spans="1:8" x14ac:dyDescent="0.2">
      <c r="A258" s="2">
        <v>246</v>
      </c>
      <c r="B258" s="9">
        <f t="shared" si="18"/>
        <v>20</v>
      </c>
      <c r="C258" s="4">
        <f t="shared" si="21"/>
        <v>501500.00000000856</v>
      </c>
      <c r="D258" s="5">
        <f t="shared" si="19"/>
        <v>1462.7083333333585</v>
      </c>
      <c r="E258" s="6">
        <f t="shared" si="20"/>
        <v>1416.6666666666667</v>
      </c>
      <c r="F258" s="10"/>
      <c r="G258" s="4"/>
      <c r="H258" s="6"/>
    </row>
    <row r="259" spans="1:8" x14ac:dyDescent="0.2">
      <c r="A259" s="2">
        <v>247</v>
      </c>
      <c r="B259" s="9">
        <f t="shared" si="18"/>
        <v>20</v>
      </c>
      <c r="C259" s="4">
        <f t="shared" si="21"/>
        <v>500083.33333334187</v>
      </c>
      <c r="D259" s="5">
        <f t="shared" si="19"/>
        <v>1458.5763888889139</v>
      </c>
      <c r="E259" s="6">
        <f t="shared" si="20"/>
        <v>1416.6666666666667</v>
      </c>
      <c r="F259" s="10"/>
      <c r="G259" s="4"/>
      <c r="H259" s="6"/>
    </row>
    <row r="260" spans="1:8" x14ac:dyDescent="0.2">
      <c r="A260" s="2">
        <v>248</v>
      </c>
      <c r="B260" s="9">
        <f t="shared" si="18"/>
        <v>20</v>
      </c>
      <c r="C260" s="4">
        <f t="shared" si="21"/>
        <v>498666.66666667518</v>
      </c>
      <c r="D260" s="5">
        <f t="shared" si="19"/>
        <v>1454.4444444444696</v>
      </c>
      <c r="E260" s="6">
        <f t="shared" si="20"/>
        <v>1416.6666666666667</v>
      </c>
      <c r="F260" s="10"/>
      <c r="G260" s="4"/>
      <c r="H260" s="6"/>
    </row>
    <row r="261" spans="1:8" x14ac:dyDescent="0.2">
      <c r="A261" s="2">
        <v>249</v>
      </c>
      <c r="B261" s="9">
        <f t="shared" si="18"/>
        <v>20</v>
      </c>
      <c r="C261" s="4">
        <f t="shared" si="21"/>
        <v>497250.0000000085</v>
      </c>
      <c r="D261" s="5">
        <f t="shared" si="19"/>
        <v>1450.3125000000248</v>
      </c>
      <c r="E261" s="6">
        <f t="shared" si="20"/>
        <v>1416.6666666666667</v>
      </c>
      <c r="F261" s="10"/>
      <c r="G261" s="4"/>
      <c r="H261" s="6"/>
    </row>
    <row r="262" spans="1:8" x14ac:dyDescent="0.2">
      <c r="A262" s="2">
        <v>250</v>
      </c>
      <c r="B262" s="9">
        <f t="shared" si="18"/>
        <v>20</v>
      </c>
      <c r="C262" s="4">
        <f t="shared" si="21"/>
        <v>495833.33333334181</v>
      </c>
      <c r="D262" s="5">
        <f t="shared" si="19"/>
        <v>1446.1805555555804</v>
      </c>
      <c r="E262" s="6">
        <f t="shared" si="20"/>
        <v>1416.6666666666667</v>
      </c>
      <c r="F262" s="10"/>
      <c r="G262" s="4"/>
      <c r="H262" s="6"/>
    </row>
    <row r="263" spans="1:8" x14ac:dyDescent="0.2">
      <c r="A263" s="2">
        <v>251</v>
      </c>
      <c r="B263" s="9">
        <f t="shared" si="18"/>
        <v>20</v>
      </c>
      <c r="C263" s="4">
        <f t="shared" si="21"/>
        <v>494416.66666667513</v>
      </c>
      <c r="D263" s="5">
        <f t="shared" si="19"/>
        <v>1442.0486111111359</v>
      </c>
      <c r="E263" s="6">
        <f t="shared" si="20"/>
        <v>1416.6666666666667</v>
      </c>
      <c r="F263" s="10"/>
      <c r="G263" s="4"/>
      <c r="H263" s="6"/>
    </row>
    <row r="264" spans="1:8" x14ac:dyDescent="0.2">
      <c r="A264" s="2">
        <v>252</v>
      </c>
      <c r="B264" s="9">
        <f t="shared" si="18"/>
        <v>21</v>
      </c>
      <c r="C264" s="4">
        <f t="shared" si="21"/>
        <v>493000.00000000844</v>
      </c>
      <c r="D264" s="5">
        <f t="shared" si="19"/>
        <v>1437.9166666666915</v>
      </c>
      <c r="E264" s="6">
        <f t="shared" si="20"/>
        <v>1416.6666666666667</v>
      </c>
      <c r="F264" s="10"/>
      <c r="G264" s="4"/>
      <c r="H264" s="6"/>
    </row>
    <row r="265" spans="1:8" x14ac:dyDescent="0.2">
      <c r="A265" s="2">
        <v>253</v>
      </c>
      <c r="B265" s="9">
        <f t="shared" si="18"/>
        <v>21</v>
      </c>
      <c r="C265" s="4">
        <f t="shared" si="21"/>
        <v>491583.33333334175</v>
      </c>
      <c r="D265" s="5">
        <f t="shared" si="19"/>
        <v>1433.784722222247</v>
      </c>
      <c r="E265" s="6">
        <f t="shared" si="20"/>
        <v>1416.6666666666667</v>
      </c>
      <c r="F265" s="10"/>
      <c r="G265" s="4"/>
      <c r="H265" s="6"/>
    </row>
    <row r="266" spans="1:8" x14ac:dyDescent="0.2">
      <c r="A266" s="2">
        <v>254</v>
      </c>
      <c r="B266" s="9">
        <f t="shared" si="18"/>
        <v>21</v>
      </c>
      <c r="C266" s="4">
        <f t="shared" si="21"/>
        <v>490166.66666667507</v>
      </c>
      <c r="D266" s="5">
        <f t="shared" si="19"/>
        <v>1429.6527777778026</v>
      </c>
      <c r="E266" s="6">
        <f t="shared" si="20"/>
        <v>1416.6666666666667</v>
      </c>
      <c r="F266" s="10"/>
      <c r="G266" s="4"/>
      <c r="H266" s="6"/>
    </row>
    <row r="267" spans="1:8" x14ac:dyDescent="0.2">
      <c r="A267" s="2">
        <v>255</v>
      </c>
      <c r="B267" s="9">
        <f t="shared" si="18"/>
        <v>21</v>
      </c>
      <c r="C267" s="4">
        <f t="shared" si="21"/>
        <v>488750.00000000838</v>
      </c>
      <c r="D267" s="5">
        <f t="shared" si="19"/>
        <v>1425.5208333333578</v>
      </c>
      <c r="E267" s="6">
        <f t="shared" si="20"/>
        <v>1416.6666666666667</v>
      </c>
      <c r="F267" s="10"/>
      <c r="G267" s="4"/>
      <c r="H267" s="6"/>
    </row>
    <row r="268" spans="1:8" x14ac:dyDescent="0.2">
      <c r="A268" s="2">
        <v>256</v>
      </c>
      <c r="B268" s="9">
        <f t="shared" ref="B268:B331" si="22">ROUNDDOWN(A268/$B$4,0)</f>
        <v>21</v>
      </c>
      <c r="C268" s="4">
        <f t="shared" si="21"/>
        <v>487333.3333333417</v>
      </c>
      <c r="D268" s="5">
        <f t="shared" si="19"/>
        <v>1421.3888888889135</v>
      </c>
      <c r="E268" s="6">
        <f t="shared" si="20"/>
        <v>1416.6666666666667</v>
      </c>
      <c r="F268" s="10"/>
      <c r="G268" s="4"/>
      <c r="H268" s="6"/>
    </row>
    <row r="269" spans="1:8" x14ac:dyDescent="0.2">
      <c r="A269" s="2">
        <v>257</v>
      </c>
      <c r="B269" s="9">
        <f t="shared" si="22"/>
        <v>21</v>
      </c>
      <c r="C269" s="4">
        <f t="shared" si="21"/>
        <v>485916.66666667501</v>
      </c>
      <c r="D269" s="5">
        <f t="shared" ref="D269:D332" si="23">$B$2*C269/$B$4</f>
        <v>1417.2569444444689</v>
      </c>
      <c r="E269" s="6">
        <f t="shared" ref="E269:E332" si="24">$B$7</f>
        <v>1416.6666666666667</v>
      </c>
      <c r="F269" s="10"/>
      <c r="G269" s="4"/>
      <c r="H269" s="6"/>
    </row>
    <row r="270" spans="1:8" x14ac:dyDescent="0.2">
      <c r="A270" s="2">
        <v>258</v>
      </c>
      <c r="B270" s="9">
        <f t="shared" si="22"/>
        <v>21</v>
      </c>
      <c r="C270" s="4">
        <f t="shared" ref="C270:C333" si="25">C269-E269</f>
        <v>484500.00000000832</v>
      </c>
      <c r="D270" s="5">
        <f t="shared" si="23"/>
        <v>1413.1250000000246</v>
      </c>
      <c r="E270" s="6">
        <f t="shared" si="24"/>
        <v>1416.6666666666667</v>
      </c>
      <c r="F270" s="10"/>
      <c r="G270" s="4"/>
      <c r="H270" s="6"/>
    </row>
    <row r="271" spans="1:8" x14ac:dyDescent="0.2">
      <c r="A271" s="2">
        <v>259</v>
      </c>
      <c r="B271" s="9">
        <f t="shared" si="22"/>
        <v>21</v>
      </c>
      <c r="C271" s="4">
        <f t="shared" si="25"/>
        <v>483083.33333334164</v>
      </c>
      <c r="D271" s="5">
        <f t="shared" si="23"/>
        <v>1408.99305555558</v>
      </c>
      <c r="E271" s="6">
        <f t="shared" si="24"/>
        <v>1416.6666666666667</v>
      </c>
      <c r="F271" s="10"/>
      <c r="G271" s="4"/>
      <c r="H271" s="6"/>
    </row>
    <row r="272" spans="1:8" x14ac:dyDescent="0.2">
      <c r="A272" s="2">
        <v>260</v>
      </c>
      <c r="B272" s="9">
        <f t="shared" si="22"/>
        <v>21</v>
      </c>
      <c r="C272" s="4">
        <f t="shared" si="25"/>
        <v>481666.66666667495</v>
      </c>
      <c r="D272" s="5">
        <f t="shared" si="23"/>
        <v>1404.8611111111352</v>
      </c>
      <c r="E272" s="6">
        <f t="shared" si="24"/>
        <v>1416.6666666666667</v>
      </c>
      <c r="F272" s="10"/>
      <c r="G272" s="4"/>
      <c r="H272" s="6"/>
    </row>
    <row r="273" spans="1:8" x14ac:dyDescent="0.2">
      <c r="A273" s="2">
        <v>261</v>
      </c>
      <c r="B273" s="9">
        <f t="shared" si="22"/>
        <v>21</v>
      </c>
      <c r="C273" s="4">
        <f t="shared" si="25"/>
        <v>480250.00000000827</v>
      </c>
      <c r="D273" s="5">
        <f t="shared" si="23"/>
        <v>1400.7291666666908</v>
      </c>
      <c r="E273" s="6">
        <f t="shared" si="24"/>
        <v>1416.6666666666667</v>
      </c>
      <c r="F273" s="10"/>
      <c r="G273" s="4"/>
      <c r="H273" s="6"/>
    </row>
    <row r="274" spans="1:8" x14ac:dyDescent="0.2">
      <c r="A274" s="2">
        <v>262</v>
      </c>
      <c r="B274" s="9">
        <f t="shared" si="22"/>
        <v>21</v>
      </c>
      <c r="C274" s="4">
        <f t="shared" si="25"/>
        <v>478833.33333334158</v>
      </c>
      <c r="D274" s="5">
        <f t="shared" si="23"/>
        <v>1396.5972222222463</v>
      </c>
      <c r="E274" s="6">
        <f t="shared" si="24"/>
        <v>1416.6666666666667</v>
      </c>
      <c r="F274" s="10"/>
      <c r="G274" s="4"/>
      <c r="H274" s="6"/>
    </row>
    <row r="275" spans="1:8" x14ac:dyDescent="0.2">
      <c r="A275" s="2">
        <v>263</v>
      </c>
      <c r="B275" s="9">
        <f t="shared" si="22"/>
        <v>21</v>
      </c>
      <c r="C275" s="4">
        <f t="shared" si="25"/>
        <v>477416.66666667489</v>
      </c>
      <c r="D275" s="5">
        <f t="shared" si="23"/>
        <v>1392.4652777778019</v>
      </c>
      <c r="E275" s="6">
        <f t="shared" si="24"/>
        <v>1416.6666666666667</v>
      </c>
      <c r="F275" s="10"/>
      <c r="G275" s="4"/>
      <c r="H275" s="6"/>
    </row>
    <row r="276" spans="1:8" x14ac:dyDescent="0.2">
      <c r="A276" s="2">
        <v>264</v>
      </c>
      <c r="B276" s="9">
        <f t="shared" si="22"/>
        <v>22</v>
      </c>
      <c r="C276" s="4">
        <f t="shared" si="25"/>
        <v>476000.00000000821</v>
      </c>
      <c r="D276" s="5">
        <f t="shared" si="23"/>
        <v>1388.3333333333574</v>
      </c>
      <c r="E276" s="6">
        <f t="shared" si="24"/>
        <v>1416.6666666666667</v>
      </c>
      <c r="F276" s="10"/>
      <c r="G276" s="4"/>
      <c r="H276" s="6"/>
    </row>
    <row r="277" spans="1:8" x14ac:dyDescent="0.2">
      <c r="A277" s="2">
        <v>265</v>
      </c>
      <c r="B277" s="9">
        <f t="shared" si="22"/>
        <v>22</v>
      </c>
      <c r="C277" s="4">
        <f t="shared" si="25"/>
        <v>474583.33333334152</v>
      </c>
      <c r="D277" s="5">
        <f t="shared" si="23"/>
        <v>1384.201388888913</v>
      </c>
      <c r="E277" s="6">
        <f t="shared" si="24"/>
        <v>1416.6666666666667</v>
      </c>
      <c r="F277" s="10"/>
      <c r="G277" s="4"/>
      <c r="H277" s="6"/>
    </row>
    <row r="278" spans="1:8" x14ac:dyDescent="0.2">
      <c r="A278" s="2">
        <v>266</v>
      </c>
      <c r="B278" s="9">
        <f t="shared" si="22"/>
        <v>22</v>
      </c>
      <c r="C278" s="4">
        <f t="shared" si="25"/>
        <v>473166.66666667484</v>
      </c>
      <c r="D278" s="5">
        <f t="shared" si="23"/>
        <v>1380.0694444444682</v>
      </c>
      <c r="E278" s="6">
        <f t="shared" si="24"/>
        <v>1416.6666666666667</v>
      </c>
      <c r="F278" s="10"/>
      <c r="G278" s="4"/>
      <c r="H278" s="6"/>
    </row>
    <row r="279" spans="1:8" x14ac:dyDescent="0.2">
      <c r="A279" s="2">
        <v>267</v>
      </c>
      <c r="B279" s="9">
        <f t="shared" si="22"/>
        <v>22</v>
      </c>
      <c r="C279" s="4">
        <f t="shared" si="25"/>
        <v>471750.00000000815</v>
      </c>
      <c r="D279" s="5">
        <f t="shared" si="23"/>
        <v>1375.9375000000239</v>
      </c>
      <c r="E279" s="6">
        <f t="shared" si="24"/>
        <v>1416.6666666666667</v>
      </c>
      <c r="F279" s="10"/>
      <c r="G279" s="4"/>
      <c r="H279" s="6"/>
    </row>
    <row r="280" spans="1:8" x14ac:dyDescent="0.2">
      <c r="A280" s="2">
        <v>268</v>
      </c>
      <c r="B280" s="9">
        <f t="shared" si="22"/>
        <v>22</v>
      </c>
      <c r="C280" s="4">
        <f t="shared" si="25"/>
        <v>470333.33333334146</v>
      </c>
      <c r="D280" s="5">
        <f t="shared" si="23"/>
        <v>1371.8055555555793</v>
      </c>
      <c r="E280" s="6">
        <f t="shared" si="24"/>
        <v>1416.6666666666667</v>
      </c>
      <c r="F280" s="10"/>
      <c r="G280" s="4"/>
      <c r="H280" s="6"/>
    </row>
    <row r="281" spans="1:8" x14ac:dyDescent="0.2">
      <c r="A281" s="2">
        <v>269</v>
      </c>
      <c r="B281" s="9">
        <f t="shared" si="22"/>
        <v>22</v>
      </c>
      <c r="C281" s="4">
        <f t="shared" si="25"/>
        <v>468916.66666667478</v>
      </c>
      <c r="D281" s="5">
        <f t="shared" si="23"/>
        <v>1367.673611111135</v>
      </c>
      <c r="E281" s="6">
        <f t="shared" si="24"/>
        <v>1416.6666666666667</v>
      </c>
      <c r="F281" s="10"/>
      <c r="G281" s="4"/>
      <c r="H281" s="6"/>
    </row>
    <row r="282" spans="1:8" x14ac:dyDescent="0.2">
      <c r="A282" s="2">
        <v>270</v>
      </c>
      <c r="B282" s="9">
        <f t="shared" si="22"/>
        <v>22</v>
      </c>
      <c r="C282" s="4">
        <f t="shared" si="25"/>
        <v>467500.00000000809</v>
      </c>
      <c r="D282" s="5">
        <f t="shared" si="23"/>
        <v>1363.5416666666904</v>
      </c>
      <c r="E282" s="6">
        <f t="shared" si="24"/>
        <v>1416.6666666666667</v>
      </c>
      <c r="F282" s="10"/>
      <c r="G282" s="4"/>
      <c r="H282" s="6"/>
    </row>
    <row r="283" spans="1:8" x14ac:dyDescent="0.2">
      <c r="A283" s="2">
        <v>271</v>
      </c>
      <c r="B283" s="9">
        <f t="shared" si="22"/>
        <v>22</v>
      </c>
      <c r="C283" s="4">
        <f t="shared" si="25"/>
        <v>466083.3333333414</v>
      </c>
      <c r="D283" s="5">
        <f t="shared" si="23"/>
        <v>1359.4097222222458</v>
      </c>
      <c r="E283" s="6">
        <f t="shared" si="24"/>
        <v>1416.6666666666667</v>
      </c>
      <c r="F283" s="10"/>
      <c r="G283" s="4"/>
      <c r="H283" s="6"/>
    </row>
    <row r="284" spans="1:8" x14ac:dyDescent="0.2">
      <c r="A284" s="2">
        <v>272</v>
      </c>
      <c r="B284" s="9">
        <f t="shared" si="22"/>
        <v>22</v>
      </c>
      <c r="C284" s="4">
        <f t="shared" si="25"/>
        <v>464666.66666667472</v>
      </c>
      <c r="D284" s="5">
        <f t="shared" si="23"/>
        <v>1355.2777777778012</v>
      </c>
      <c r="E284" s="6">
        <f t="shared" si="24"/>
        <v>1416.6666666666667</v>
      </c>
      <c r="F284" s="10"/>
      <c r="G284" s="4"/>
      <c r="H284" s="6"/>
    </row>
    <row r="285" spans="1:8" x14ac:dyDescent="0.2">
      <c r="A285" s="2">
        <v>273</v>
      </c>
      <c r="B285" s="9">
        <f t="shared" si="22"/>
        <v>22</v>
      </c>
      <c r="C285" s="4">
        <f t="shared" si="25"/>
        <v>463250.00000000803</v>
      </c>
      <c r="D285" s="5">
        <f t="shared" si="23"/>
        <v>1351.1458333333569</v>
      </c>
      <c r="E285" s="6">
        <f t="shared" si="24"/>
        <v>1416.6666666666667</v>
      </c>
      <c r="F285" s="10"/>
      <c r="G285" s="4"/>
      <c r="H285" s="6"/>
    </row>
    <row r="286" spans="1:8" x14ac:dyDescent="0.2">
      <c r="A286" s="2">
        <v>274</v>
      </c>
      <c r="B286" s="9">
        <f t="shared" si="22"/>
        <v>22</v>
      </c>
      <c r="C286" s="4">
        <f t="shared" si="25"/>
        <v>461833.33333334135</v>
      </c>
      <c r="D286" s="5">
        <f t="shared" si="23"/>
        <v>1347.0138888889123</v>
      </c>
      <c r="E286" s="6">
        <f t="shared" si="24"/>
        <v>1416.6666666666667</v>
      </c>
      <c r="F286" s="10"/>
      <c r="G286" s="4"/>
      <c r="H286" s="6"/>
    </row>
    <row r="287" spans="1:8" x14ac:dyDescent="0.2">
      <c r="A287" s="2">
        <v>275</v>
      </c>
      <c r="B287" s="9">
        <f t="shared" si="22"/>
        <v>22</v>
      </c>
      <c r="C287" s="4">
        <f t="shared" si="25"/>
        <v>460416.66666667466</v>
      </c>
      <c r="D287" s="5">
        <f t="shared" si="23"/>
        <v>1342.8819444444678</v>
      </c>
      <c r="E287" s="6">
        <f t="shared" si="24"/>
        <v>1416.6666666666667</v>
      </c>
      <c r="F287" s="10"/>
      <c r="G287" s="4"/>
      <c r="H287" s="6"/>
    </row>
    <row r="288" spans="1:8" x14ac:dyDescent="0.2">
      <c r="A288" s="2">
        <v>276</v>
      </c>
      <c r="B288" s="9">
        <f t="shared" si="22"/>
        <v>23</v>
      </c>
      <c r="C288" s="4">
        <f t="shared" si="25"/>
        <v>459000.00000000797</v>
      </c>
      <c r="D288" s="5">
        <f t="shared" si="23"/>
        <v>1338.7500000000234</v>
      </c>
      <c r="E288" s="6">
        <f t="shared" si="24"/>
        <v>1416.6666666666667</v>
      </c>
      <c r="F288" s="10"/>
      <c r="G288" s="4"/>
      <c r="H288" s="6"/>
    </row>
    <row r="289" spans="1:8" x14ac:dyDescent="0.2">
      <c r="A289" s="2">
        <v>277</v>
      </c>
      <c r="B289" s="9">
        <f t="shared" si="22"/>
        <v>23</v>
      </c>
      <c r="C289" s="4">
        <f t="shared" si="25"/>
        <v>457583.33333334129</v>
      </c>
      <c r="D289" s="5">
        <f t="shared" si="23"/>
        <v>1334.6180555555788</v>
      </c>
      <c r="E289" s="6">
        <f t="shared" si="24"/>
        <v>1416.6666666666667</v>
      </c>
      <c r="F289" s="10"/>
      <c r="G289" s="4"/>
      <c r="H289" s="6"/>
    </row>
    <row r="290" spans="1:8" x14ac:dyDescent="0.2">
      <c r="A290" s="2">
        <v>278</v>
      </c>
      <c r="B290" s="9">
        <f t="shared" si="22"/>
        <v>23</v>
      </c>
      <c r="C290" s="4">
        <f t="shared" si="25"/>
        <v>456166.6666666746</v>
      </c>
      <c r="D290" s="5">
        <f t="shared" si="23"/>
        <v>1330.4861111111343</v>
      </c>
      <c r="E290" s="6">
        <f t="shared" si="24"/>
        <v>1416.6666666666667</v>
      </c>
      <c r="F290" s="10"/>
      <c r="G290" s="4"/>
      <c r="H290" s="6"/>
    </row>
    <row r="291" spans="1:8" x14ac:dyDescent="0.2">
      <c r="A291" s="2">
        <v>279</v>
      </c>
      <c r="B291" s="9">
        <f t="shared" si="22"/>
        <v>23</v>
      </c>
      <c r="C291" s="4">
        <f t="shared" si="25"/>
        <v>454750.00000000792</v>
      </c>
      <c r="D291" s="5">
        <f t="shared" si="23"/>
        <v>1326.3541666666899</v>
      </c>
      <c r="E291" s="6">
        <f t="shared" si="24"/>
        <v>1416.6666666666667</v>
      </c>
      <c r="F291" s="10"/>
      <c r="G291" s="4"/>
      <c r="H291" s="6"/>
    </row>
    <row r="292" spans="1:8" x14ac:dyDescent="0.2">
      <c r="A292" s="2">
        <v>280</v>
      </c>
      <c r="B292" s="9">
        <f t="shared" si="22"/>
        <v>23</v>
      </c>
      <c r="C292" s="4">
        <f t="shared" si="25"/>
        <v>453333.33333334123</v>
      </c>
      <c r="D292" s="5">
        <f t="shared" si="23"/>
        <v>1322.2222222222454</v>
      </c>
      <c r="E292" s="6">
        <f t="shared" si="24"/>
        <v>1416.6666666666667</v>
      </c>
      <c r="F292" s="10"/>
      <c r="G292" s="4"/>
      <c r="H292" s="6"/>
    </row>
    <row r="293" spans="1:8" x14ac:dyDescent="0.2">
      <c r="A293" s="2">
        <v>281</v>
      </c>
      <c r="B293" s="9">
        <f t="shared" si="22"/>
        <v>23</v>
      </c>
      <c r="C293" s="4">
        <f t="shared" si="25"/>
        <v>451916.66666667454</v>
      </c>
      <c r="D293" s="5">
        <f t="shared" si="23"/>
        <v>1318.0902777778008</v>
      </c>
      <c r="E293" s="6">
        <f t="shared" si="24"/>
        <v>1416.6666666666667</v>
      </c>
      <c r="F293" s="10"/>
      <c r="G293" s="4"/>
      <c r="H293" s="6"/>
    </row>
    <row r="294" spans="1:8" x14ac:dyDescent="0.2">
      <c r="A294" s="2">
        <v>282</v>
      </c>
      <c r="B294" s="9">
        <f t="shared" si="22"/>
        <v>23</v>
      </c>
      <c r="C294" s="4">
        <f t="shared" si="25"/>
        <v>450500.00000000786</v>
      </c>
      <c r="D294" s="5">
        <f t="shared" si="23"/>
        <v>1313.9583333333564</v>
      </c>
      <c r="E294" s="6">
        <f t="shared" si="24"/>
        <v>1416.6666666666667</v>
      </c>
      <c r="F294" s="10"/>
      <c r="G294" s="4"/>
      <c r="H294" s="6"/>
    </row>
    <row r="295" spans="1:8" x14ac:dyDescent="0.2">
      <c r="A295" s="2">
        <v>283</v>
      </c>
      <c r="B295" s="9">
        <f t="shared" si="22"/>
        <v>23</v>
      </c>
      <c r="C295" s="4">
        <f t="shared" si="25"/>
        <v>449083.33333334117</v>
      </c>
      <c r="D295" s="5">
        <f t="shared" si="23"/>
        <v>1309.8263888889119</v>
      </c>
      <c r="E295" s="6">
        <f t="shared" si="24"/>
        <v>1416.6666666666667</v>
      </c>
      <c r="F295" s="10"/>
      <c r="G295" s="4"/>
      <c r="H295" s="6"/>
    </row>
    <row r="296" spans="1:8" x14ac:dyDescent="0.2">
      <c r="A296" s="2">
        <v>284</v>
      </c>
      <c r="B296" s="9">
        <f t="shared" si="22"/>
        <v>23</v>
      </c>
      <c r="C296" s="4">
        <f t="shared" si="25"/>
        <v>447666.66666667449</v>
      </c>
      <c r="D296" s="5">
        <f t="shared" si="23"/>
        <v>1305.6944444444673</v>
      </c>
      <c r="E296" s="6">
        <f t="shared" si="24"/>
        <v>1416.6666666666667</v>
      </c>
      <c r="F296" s="10"/>
      <c r="G296" s="4"/>
      <c r="H296" s="6"/>
    </row>
    <row r="297" spans="1:8" x14ac:dyDescent="0.2">
      <c r="A297" s="2">
        <v>285</v>
      </c>
      <c r="B297" s="9">
        <f t="shared" si="22"/>
        <v>23</v>
      </c>
      <c r="C297" s="4">
        <f t="shared" si="25"/>
        <v>446250.0000000078</v>
      </c>
      <c r="D297" s="5">
        <f t="shared" si="23"/>
        <v>1301.562500000023</v>
      </c>
      <c r="E297" s="6">
        <f t="shared" si="24"/>
        <v>1416.6666666666667</v>
      </c>
      <c r="F297" s="10"/>
      <c r="G297" s="4"/>
      <c r="H297" s="6"/>
    </row>
    <row r="298" spans="1:8" x14ac:dyDescent="0.2">
      <c r="A298" s="2">
        <v>286</v>
      </c>
      <c r="B298" s="9">
        <f t="shared" si="22"/>
        <v>23</v>
      </c>
      <c r="C298" s="4">
        <f t="shared" si="25"/>
        <v>444833.33333334111</v>
      </c>
      <c r="D298" s="5">
        <f t="shared" si="23"/>
        <v>1297.4305555555784</v>
      </c>
      <c r="E298" s="6">
        <f t="shared" si="24"/>
        <v>1416.6666666666667</v>
      </c>
      <c r="F298" s="10"/>
      <c r="G298" s="4"/>
      <c r="H298" s="6"/>
    </row>
    <row r="299" spans="1:8" x14ac:dyDescent="0.2">
      <c r="A299" s="2">
        <v>287</v>
      </c>
      <c r="B299" s="9">
        <f t="shared" si="22"/>
        <v>23</v>
      </c>
      <c r="C299" s="4">
        <f t="shared" si="25"/>
        <v>443416.66666667443</v>
      </c>
      <c r="D299" s="5">
        <f t="shared" si="23"/>
        <v>1293.2986111111338</v>
      </c>
      <c r="E299" s="6">
        <f t="shared" si="24"/>
        <v>1416.6666666666667</v>
      </c>
      <c r="F299" s="10"/>
      <c r="G299" s="4"/>
      <c r="H299" s="6"/>
    </row>
    <row r="300" spans="1:8" x14ac:dyDescent="0.2">
      <c r="A300" s="2">
        <v>288</v>
      </c>
      <c r="B300" s="9">
        <f t="shared" si="22"/>
        <v>24</v>
      </c>
      <c r="C300" s="4">
        <f t="shared" si="25"/>
        <v>442000.00000000774</v>
      </c>
      <c r="D300" s="5">
        <f t="shared" si="23"/>
        <v>1289.1666666666895</v>
      </c>
      <c r="E300" s="6">
        <f t="shared" si="24"/>
        <v>1416.6666666666667</v>
      </c>
      <c r="F300" s="10"/>
      <c r="G300" s="4"/>
      <c r="H300" s="6"/>
    </row>
    <row r="301" spans="1:8" x14ac:dyDescent="0.2">
      <c r="A301" s="2">
        <v>289</v>
      </c>
      <c r="B301" s="9">
        <f t="shared" si="22"/>
        <v>24</v>
      </c>
      <c r="C301" s="4">
        <f t="shared" si="25"/>
        <v>440583.33333334106</v>
      </c>
      <c r="D301" s="5">
        <f t="shared" si="23"/>
        <v>1285.0347222222449</v>
      </c>
      <c r="E301" s="6">
        <f t="shared" si="24"/>
        <v>1416.6666666666667</v>
      </c>
      <c r="F301" s="10"/>
      <c r="G301" s="4"/>
      <c r="H301" s="6"/>
    </row>
    <row r="302" spans="1:8" x14ac:dyDescent="0.2">
      <c r="A302" s="2">
        <v>290</v>
      </c>
      <c r="B302" s="9">
        <f t="shared" si="22"/>
        <v>24</v>
      </c>
      <c r="C302" s="4">
        <f t="shared" si="25"/>
        <v>439166.66666667437</v>
      </c>
      <c r="D302" s="5">
        <f t="shared" si="23"/>
        <v>1280.9027777778003</v>
      </c>
      <c r="E302" s="6">
        <f t="shared" si="24"/>
        <v>1416.6666666666667</v>
      </c>
      <c r="F302" s="10"/>
      <c r="G302" s="4"/>
      <c r="H302" s="6"/>
    </row>
    <row r="303" spans="1:8" x14ac:dyDescent="0.2">
      <c r="A303" s="2">
        <v>291</v>
      </c>
      <c r="B303" s="9">
        <f t="shared" si="22"/>
        <v>24</v>
      </c>
      <c r="C303" s="4">
        <f t="shared" si="25"/>
        <v>437750.00000000768</v>
      </c>
      <c r="D303" s="5">
        <f t="shared" si="23"/>
        <v>1276.770833333356</v>
      </c>
      <c r="E303" s="6">
        <f t="shared" si="24"/>
        <v>1416.6666666666667</v>
      </c>
      <c r="F303" s="10"/>
      <c r="G303" s="4"/>
      <c r="H303" s="6"/>
    </row>
    <row r="304" spans="1:8" x14ac:dyDescent="0.2">
      <c r="A304" s="2">
        <v>292</v>
      </c>
      <c r="B304" s="9">
        <f t="shared" si="22"/>
        <v>24</v>
      </c>
      <c r="C304" s="4">
        <f t="shared" si="25"/>
        <v>436333.333333341</v>
      </c>
      <c r="D304" s="5">
        <f t="shared" si="23"/>
        <v>1272.6388888889114</v>
      </c>
      <c r="E304" s="6">
        <f t="shared" si="24"/>
        <v>1416.6666666666667</v>
      </c>
      <c r="F304" s="10"/>
      <c r="G304" s="4"/>
      <c r="H304" s="6"/>
    </row>
    <row r="305" spans="1:8" x14ac:dyDescent="0.2">
      <c r="A305" s="2">
        <v>293</v>
      </c>
      <c r="B305" s="9">
        <f t="shared" si="22"/>
        <v>24</v>
      </c>
      <c r="C305" s="4">
        <f t="shared" si="25"/>
        <v>434916.66666667431</v>
      </c>
      <c r="D305" s="5">
        <f t="shared" si="23"/>
        <v>1268.5069444444669</v>
      </c>
      <c r="E305" s="6">
        <f t="shared" si="24"/>
        <v>1416.6666666666667</v>
      </c>
      <c r="F305" s="10"/>
      <c r="G305" s="4"/>
      <c r="H305" s="6"/>
    </row>
    <row r="306" spans="1:8" x14ac:dyDescent="0.2">
      <c r="A306" s="2">
        <v>294</v>
      </c>
      <c r="B306" s="9">
        <f t="shared" si="22"/>
        <v>24</v>
      </c>
      <c r="C306" s="4">
        <f t="shared" si="25"/>
        <v>433500.00000000763</v>
      </c>
      <c r="D306" s="5">
        <f t="shared" si="23"/>
        <v>1264.3750000000225</v>
      </c>
      <c r="E306" s="6">
        <f t="shared" si="24"/>
        <v>1416.6666666666667</v>
      </c>
      <c r="F306" s="10"/>
      <c r="G306" s="4"/>
      <c r="H306" s="6"/>
    </row>
    <row r="307" spans="1:8" x14ac:dyDescent="0.2">
      <c r="A307" s="2">
        <v>295</v>
      </c>
      <c r="B307" s="9">
        <f t="shared" si="22"/>
        <v>24</v>
      </c>
      <c r="C307" s="4">
        <f t="shared" si="25"/>
        <v>432083.33333334094</v>
      </c>
      <c r="D307" s="5">
        <f t="shared" si="23"/>
        <v>1260.2430555555777</v>
      </c>
      <c r="E307" s="6">
        <f t="shared" si="24"/>
        <v>1416.6666666666667</v>
      </c>
      <c r="F307" s="10"/>
      <c r="G307" s="4"/>
      <c r="H307" s="6"/>
    </row>
    <row r="308" spans="1:8" x14ac:dyDescent="0.2">
      <c r="A308" s="2">
        <v>296</v>
      </c>
      <c r="B308" s="9">
        <f t="shared" si="22"/>
        <v>24</v>
      </c>
      <c r="C308" s="4">
        <f t="shared" si="25"/>
        <v>430666.66666667425</v>
      </c>
      <c r="D308" s="5">
        <f t="shared" si="23"/>
        <v>1256.1111111111334</v>
      </c>
      <c r="E308" s="6">
        <f t="shared" si="24"/>
        <v>1416.6666666666667</v>
      </c>
      <c r="F308" s="10"/>
      <c r="G308" s="4"/>
      <c r="H308" s="6"/>
    </row>
    <row r="309" spans="1:8" x14ac:dyDescent="0.2">
      <c r="A309" s="2">
        <v>297</v>
      </c>
      <c r="B309" s="9">
        <f t="shared" si="22"/>
        <v>24</v>
      </c>
      <c r="C309" s="4">
        <f t="shared" si="25"/>
        <v>429250.00000000757</v>
      </c>
      <c r="D309" s="5">
        <f t="shared" si="23"/>
        <v>1251.9791666666888</v>
      </c>
      <c r="E309" s="6">
        <f t="shared" si="24"/>
        <v>1416.6666666666667</v>
      </c>
      <c r="F309" s="10"/>
      <c r="G309" s="4"/>
      <c r="H309" s="6"/>
    </row>
    <row r="310" spans="1:8" x14ac:dyDescent="0.2">
      <c r="A310" s="2">
        <v>298</v>
      </c>
      <c r="B310" s="9">
        <f t="shared" si="22"/>
        <v>24</v>
      </c>
      <c r="C310" s="4">
        <f t="shared" si="25"/>
        <v>427833.33333334088</v>
      </c>
      <c r="D310" s="5">
        <f t="shared" si="23"/>
        <v>1247.8472222222442</v>
      </c>
      <c r="E310" s="6">
        <f t="shared" si="24"/>
        <v>1416.6666666666667</v>
      </c>
      <c r="F310" s="10"/>
      <c r="G310" s="4"/>
      <c r="H310" s="6"/>
    </row>
    <row r="311" spans="1:8" x14ac:dyDescent="0.2">
      <c r="A311" s="2">
        <v>299</v>
      </c>
      <c r="B311" s="9">
        <f t="shared" si="22"/>
        <v>24</v>
      </c>
      <c r="C311" s="4">
        <f t="shared" si="25"/>
        <v>426416.66666667419</v>
      </c>
      <c r="D311" s="5">
        <f t="shared" si="23"/>
        <v>1243.7152777777999</v>
      </c>
      <c r="E311" s="6">
        <f t="shared" si="24"/>
        <v>1416.6666666666667</v>
      </c>
      <c r="F311" s="10"/>
      <c r="G311" s="4"/>
      <c r="H311" s="6"/>
    </row>
    <row r="312" spans="1:8" x14ac:dyDescent="0.2">
      <c r="A312" s="2">
        <v>300</v>
      </c>
      <c r="B312" s="9">
        <f t="shared" si="22"/>
        <v>25</v>
      </c>
      <c r="C312" s="4">
        <f t="shared" si="25"/>
        <v>425000.00000000751</v>
      </c>
      <c r="D312" s="5">
        <f t="shared" si="23"/>
        <v>1239.5833333333553</v>
      </c>
      <c r="E312" s="6">
        <f t="shared" si="24"/>
        <v>1416.6666666666667</v>
      </c>
      <c r="F312" s="10"/>
      <c r="G312" s="4"/>
      <c r="H312" s="6"/>
    </row>
    <row r="313" spans="1:8" x14ac:dyDescent="0.2">
      <c r="A313" s="2">
        <v>301</v>
      </c>
      <c r="B313" s="9">
        <f t="shared" si="22"/>
        <v>25</v>
      </c>
      <c r="C313" s="4">
        <f t="shared" si="25"/>
        <v>423583.33333334082</v>
      </c>
      <c r="D313" s="5">
        <f t="shared" si="23"/>
        <v>1235.4513888889107</v>
      </c>
      <c r="E313" s="6">
        <f t="shared" si="24"/>
        <v>1416.6666666666667</v>
      </c>
      <c r="F313" s="10"/>
      <c r="G313" s="4"/>
      <c r="H313" s="6"/>
    </row>
    <row r="314" spans="1:8" x14ac:dyDescent="0.2">
      <c r="A314" s="2">
        <v>302</v>
      </c>
      <c r="B314" s="9">
        <f t="shared" si="22"/>
        <v>25</v>
      </c>
      <c r="C314" s="4">
        <f t="shared" si="25"/>
        <v>422166.66666667414</v>
      </c>
      <c r="D314" s="5">
        <f t="shared" si="23"/>
        <v>1231.3194444444664</v>
      </c>
      <c r="E314" s="6">
        <f t="shared" si="24"/>
        <v>1416.6666666666667</v>
      </c>
      <c r="F314" s="10"/>
      <c r="G314" s="4"/>
      <c r="H314" s="6"/>
    </row>
    <row r="315" spans="1:8" x14ac:dyDescent="0.2">
      <c r="A315" s="2">
        <v>303</v>
      </c>
      <c r="B315" s="9">
        <f t="shared" si="22"/>
        <v>25</v>
      </c>
      <c r="C315" s="4">
        <f t="shared" si="25"/>
        <v>420750.00000000745</v>
      </c>
      <c r="D315" s="5">
        <f t="shared" si="23"/>
        <v>1227.1875000000218</v>
      </c>
      <c r="E315" s="6">
        <f t="shared" si="24"/>
        <v>1416.6666666666667</v>
      </c>
      <c r="F315" s="10"/>
      <c r="G315" s="4"/>
      <c r="H315" s="6"/>
    </row>
    <row r="316" spans="1:8" x14ac:dyDescent="0.2">
      <c r="A316" s="2">
        <v>304</v>
      </c>
      <c r="B316" s="9">
        <f t="shared" si="22"/>
        <v>25</v>
      </c>
      <c r="C316" s="4">
        <f t="shared" si="25"/>
        <v>419333.33333334076</v>
      </c>
      <c r="D316" s="5">
        <f t="shared" si="23"/>
        <v>1223.0555555555773</v>
      </c>
      <c r="E316" s="6">
        <f t="shared" si="24"/>
        <v>1416.6666666666667</v>
      </c>
      <c r="F316" s="10"/>
      <c r="G316" s="4"/>
      <c r="H316" s="6"/>
    </row>
    <row r="317" spans="1:8" x14ac:dyDescent="0.2">
      <c r="A317" s="2">
        <v>305</v>
      </c>
      <c r="B317" s="9">
        <f t="shared" si="22"/>
        <v>25</v>
      </c>
      <c r="C317" s="4">
        <f t="shared" si="25"/>
        <v>417916.66666667408</v>
      </c>
      <c r="D317" s="5">
        <f t="shared" si="23"/>
        <v>1218.9236111111329</v>
      </c>
      <c r="E317" s="6">
        <f t="shared" si="24"/>
        <v>1416.6666666666667</v>
      </c>
      <c r="F317" s="10"/>
      <c r="G317" s="4"/>
      <c r="H317" s="6"/>
    </row>
    <row r="318" spans="1:8" x14ac:dyDescent="0.2">
      <c r="A318" s="2">
        <v>306</v>
      </c>
      <c r="B318" s="9">
        <f t="shared" si="22"/>
        <v>25</v>
      </c>
      <c r="C318" s="4">
        <f t="shared" si="25"/>
        <v>416500.00000000739</v>
      </c>
      <c r="D318" s="5">
        <f t="shared" si="23"/>
        <v>1214.7916666666883</v>
      </c>
      <c r="E318" s="6">
        <f t="shared" si="24"/>
        <v>1416.6666666666667</v>
      </c>
      <c r="F318" s="10"/>
      <c r="G318" s="4"/>
      <c r="H318" s="6"/>
    </row>
    <row r="319" spans="1:8" x14ac:dyDescent="0.2">
      <c r="A319" s="2">
        <v>307</v>
      </c>
      <c r="B319" s="9">
        <f t="shared" si="22"/>
        <v>25</v>
      </c>
      <c r="C319" s="4">
        <f t="shared" si="25"/>
        <v>415083.33333334071</v>
      </c>
      <c r="D319" s="5">
        <f t="shared" si="23"/>
        <v>1210.6597222222438</v>
      </c>
      <c r="E319" s="6">
        <f t="shared" si="24"/>
        <v>1416.6666666666667</v>
      </c>
      <c r="F319" s="10"/>
      <c r="G319" s="4"/>
      <c r="H319" s="6"/>
    </row>
    <row r="320" spans="1:8" x14ac:dyDescent="0.2">
      <c r="A320" s="2">
        <v>308</v>
      </c>
      <c r="B320" s="9">
        <f t="shared" si="22"/>
        <v>25</v>
      </c>
      <c r="C320" s="4">
        <f t="shared" si="25"/>
        <v>413666.66666667402</v>
      </c>
      <c r="D320" s="5">
        <f t="shared" si="23"/>
        <v>1206.5277777777994</v>
      </c>
      <c r="E320" s="6">
        <f t="shared" si="24"/>
        <v>1416.6666666666667</v>
      </c>
      <c r="F320" s="10"/>
      <c r="G320" s="4"/>
      <c r="H320" s="6"/>
    </row>
    <row r="321" spans="1:8" x14ac:dyDescent="0.2">
      <c r="A321" s="2">
        <v>309</v>
      </c>
      <c r="B321" s="9">
        <f t="shared" si="22"/>
        <v>25</v>
      </c>
      <c r="C321" s="4">
        <f t="shared" si="25"/>
        <v>412250.00000000733</v>
      </c>
      <c r="D321" s="5">
        <f t="shared" si="23"/>
        <v>1202.3958333333549</v>
      </c>
      <c r="E321" s="6">
        <f t="shared" si="24"/>
        <v>1416.6666666666667</v>
      </c>
      <c r="F321" s="10"/>
      <c r="G321" s="4"/>
      <c r="H321" s="6"/>
    </row>
    <row r="322" spans="1:8" x14ac:dyDescent="0.2">
      <c r="A322" s="2">
        <v>310</v>
      </c>
      <c r="B322" s="9">
        <f t="shared" si="22"/>
        <v>25</v>
      </c>
      <c r="C322" s="4">
        <f t="shared" si="25"/>
        <v>410833.33333334065</v>
      </c>
      <c r="D322" s="5">
        <f t="shared" si="23"/>
        <v>1198.2638888889103</v>
      </c>
      <c r="E322" s="6">
        <f t="shared" si="24"/>
        <v>1416.6666666666667</v>
      </c>
      <c r="F322" s="10"/>
      <c r="G322" s="4"/>
      <c r="H322" s="6"/>
    </row>
    <row r="323" spans="1:8" x14ac:dyDescent="0.2">
      <c r="A323" s="2">
        <v>311</v>
      </c>
      <c r="B323" s="9">
        <f t="shared" si="22"/>
        <v>25</v>
      </c>
      <c r="C323" s="4">
        <f t="shared" si="25"/>
        <v>409416.66666667396</v>
      </c>
      <c r="D323" s="5">
        <f t="shared" si="23"/>
        <v>1194.1319444444659</v>
      </c>
      <c r="E323" s="6">
        <f t="shared" si="24"/>
        <v>1416.6666666666667</v>
      </c>
      <c r="F323" s="10"/>
      <c r="G323" s="4"/>
      <c r="H323" s="6"/>
    </row>
    <row r="324" spans="1:8" x14ac:dyDescent="0.2">
      <c r="A324" s="2">
        <v>312</v>
      </c>
      <c r="B324" s="9">
        <f t="shared" si="22"/>
        <v>26</v>
      </c>
      <c r="C324" s="4">
        <f t="shared" si="25"/>
        <v>408000.00000000728</v>
      </c>
      <c r="D324" s="5">
        <f t="shared" si="23"/>
        <v>1190.0000000000214</v>
      </c>
      <c r="E324" s="6">
        <f t="shared" si="24"/>
        <v>1416.6666666666667</v>
      </c>
      <c r="F324" s="10"/>
      <c r="G324" s="4"/>
      <c r="H324" s="6"/>
    </row>
    <row r="325" spans="1:8" x14ac:dyDescent="0.2">
      <c r="A325" s="2">
        <v>313</v>
      </c>
      <c r="B325" s="9">
        <f t="shared" si="22"/>
        <v>26</v>
      </c>
      <c r="C325" s="4">
        <f t="shared" si="25"/>
        <v>406583.33333334059</v>
      </c>
      <c r="D325" s="5">
        <f t="shared" si="23"/>
        <v>1185.8680555555768</v>
      </c>
      <c r="E325" s="6">
        <f t="shared" si="24"/>
        <v>1416.6666666666667</v>
      </c>
      <c r="F325" s="10"/>
      <c r="G325" s="4"/>
      <c r="H325" s="6"/>
    </row>
    <row r="326" spans="1:8" x14ac:dyDescent="0.2">
      <c r="A326" s="2">
        <v>314</v>
      </c>
      <c r="B326" s="9">
        <f t="shared" si="22"/>
        <v>26</v>
      </c>
      <c r="C326" s="4">
        <f t="shared" si="25"/>
        <v>405166.6666666739</v>
      </c>
      <c r="D326" s="5">
        <f t="shared" si="23"/>
        <v>1181.7361111111325</v>
      </c>
      <c r="E326" s="6">
        <f t="shared" si="24"/>
        <v>1416.6666666666667</v>
      </c>
      <c r="F326" s="10"/>
      <c r="G326" s="4"/>
      <c r="H326" s="6"/>
    </row>
    <row r="327" spans="1:8" x14ac:dyDescent="0.2">
      <c r="A327" s="2">
        <v>315</v>
      </c>
      <c r="B327" s="9">
        <f t="shared" si="22"/>
        <v>26</v>
      </c>
      <c r="C327" s="4">
        <f t="shared" si="25"/>
        <v>403750.00000000722</v>
      </c>
      <c r="D327" s="5">
        <f t="shared" si="23"/>
        <v>1177.6041666666879</v>
      </c>
      <c r="E327" s="6">
        <f t="shared" si="24"/>
        <v>1416.6666666666667</v>
      </c>
      <c r="F327" s="10"/>
      <c r="G327" s="4"/>
      <c r="H327" s="6"/>
    </row>
    <row r="328" spans="1:8" x14ac:dyDescent="0.2">
      <c r="A328" s="2">
        <v>316</v>
      </c>
      <c r="B328" s="9">
        <f t="shared" si="22"/>
        <v>26</v>
      </c>
      <c r="C328" s="4">
        <f t="shared" si="25"/>
        <v>402333.33333334053</v>
      </c>
      <c r="D328" s="5">
        <f t="shared" si="23"/>
        <v>1173.4722222222433</v>
      </c>
      <c r="E328" s="6">
        <f t="shared" si="24"/>
        <v>1416.6666666666667</v>
      </c>
      <c r="F328" s="10"/>
      <c r="G328" s="4"/>
      <c r="H328" s="6"/>
    </row>
    <row r="329" spans="1:8" x14ac:dyDescent="0.2">
      <c r="A329" s="2">
        <v>317</v>
      </c>
      <c r="B329" s="9">
        <f t="shared" si="22"/>
        <v>26</v>
      </c>
      <c r="C329" s="4">
        <f t="shared" si="25"/>
        <v>400916.66666667385</v>
      </c>
      <c r="D329" s="5">
        <f t="shared" si="23"/>
        <v>1169.340277777799</v>
      </c>
      <c r="E329" s="6">
        <f t="shared" si="24"/>
        <v>1416.6666666666667</v>
      </c>
      <c r="F329" s="10"/>
      <c r="G329" s="4"/>
      <c r="H329" s="6"/>
    </row>
    <row r="330" spans="1:8" x14ac:dyDescent="0.2">
      <c r="A330" s="2">
        <v>318</v>
      </c>
      <c r="B330" s="9">
        <f t="shared" si="22"/>
        <v>26</v>
      </c>
      <c r="C330" s="4">
        <f t="shared" si="25"/>
        <v>399500.00000000716</v>
      </c>
      <c r="D330" s="5">
        <f t="shared" si="23"/>
        <v>1165.2083333333542</v>
      </c>
      <c r="E330" s="6">
        <f t="shared" si="24"/>
        <v>1416.6666666666667</v>
      </c>
      <c r="F330" s="10"/>
      <c r="G330" s="4"/>
      <c r="H330" s="6"/>
    </row>
    <row r="331" spans="1:8" x14ac:dyDescent="0.2">
      <c r="A331" s="2">
        <v>319</v>
      </c>
      <c r="B331" s="9">
        <f t="shared" si="22"/>
        <v>26</v>
      </c>
      <c r="C331" s="4">
        <f t="shared" si="25"/>
        <v>398083.33333334047</v>
      </c>
      <c r="D331" s="5">
        <f t="shared" si="23"/>
        <v>1161.0763888889098</v>
      </c>
      <c r="E331" s="6">
        <f t="shared" si="24"/>
        <v>1416.6666666666667</v>
      </c>
      <c r="F331" s="10"/>
      <c r="G331" s="4"/>
      <c r="H331" s="6"/>
    </row>
    <row r="332" spans="1:8" x14ac:dyDescent="0.2">
      <c r="A332" s="2">
        <v>320</v>
      </c>
      <c r="B332" s="9">
        <f t="shared" ref="B332:B371" si="26">ROUNDDOWN(A332/$B$4,0)</f>
        <v>26</v>
      </c>
      <c r="C332" s="4">
        <f t="shared" si="25"/>
        <v>396666.66666667379</v>
      </c>
      <c r="D332" s="5">
        <f t="shared" si="23"/>
        <v>1156.9444444444653</v>
      </c>
      <c r="E332" s="6">
        <f t="shared" si="24"/>
        <v>1416.6666666666667</v>
      </c>
      <c r="F332" s="10"/>
      <c r="G332" s="4"/>
      <c r="H332" s="6"/>
    </row>
    <row r="333" spans="1:8" x14ac:dyDescent="0.2">
      <c r="A333" s="2">
        <v>321</v>
      </c>
      <c r="B333" s="9">
        <f t="shared" si="26"/>
        <v>26</v>
      </c>
      <c r="C333" s="4">
        <f t="shared" si="25"/>
        <v>395250.0000000071</v>
      </c>
      <c r="D333" s="5">
        <f t="shared" ref="D333:D371" si="27">$B$2*C333/$B$4</f>
        <v>1152.8125000000207</v>
      </c>
      <c r="E333" s="6">
        <f t="shared" ref="E333:E397" si="28">$B$7</f>
        <v>1416.6666666666667</v>
      </c>
      <c r="F333" s="10"/>
      <c r="G333" s="4"/>
      <c r="H333" s="6"/>
    </row>
    <row r="334" spans="1:8" x14ac:dyDescent="0.2">
      <c r="A334" s="2">
        <v>322</v>
      </c>
      <c r="B334" s="9">
        <f t="shared" si="26"/>
        <v>26</v>
      </c>
      <c r="C334" s="4">
        <f t="shared" ref="C334:C371" si="29">C333-E333</f>
        <v>393833.33333334042</v>
      </c>
      <c r="D334" s="5">
        <f t="shared" si="27"/>
        <v>1148.6805555555763</v>
      </c>
      <c r="E334" s="6">
        <f t="shared" si="28"/>
        <v>1416.6666666666667</v>
      </c>
      <c r="F334" s="10"/>
      <c r="G334" s="4"/>
      <c r="H334" s="6"/>
    </row>
    <row r="335" spans="1:8" x14ac:dyDescent="0.2">
      <c r="A335" s="2">
        <v>323</v>
      </c>
      <c r="B335" s="9">
        <f t="shared" si="26"/>
        <v>26</v>
      </c>
      <c r="C335" s="4">
        <f t="shared" si="29"/>
        <v>392416.66666667373</v>
      </c>
      <c r="D335" s="5">
        <f t="shared" si="27"/>
        <v>1144.5486111111318</v>
      </c>
      <c r="E335" s="6">
        <f t="shared" si="28"/>
        <v>1416.6666666666667</v>
      </c>
      <c r="F335" s="10"/>
      <c r="G335" s="4"/>
      <c r="H335" s="6"/>
    </row>
    <row r="336" spans="1:8" x14ac:dyDescent="0.2">
      <c r="A336" s="2">
        <v>324</v>
      </c>
      <c r="B336" s="9">
        <f t="shared" si="26"/>
        <v>27</v>
      </c>
      <c r="C336" s="4">
        <f t="shared" si="29"/>
        <v>391000.00000000704</v>
      </c>
      <c r="D336" s="5">
        <f t="shared" si="27"/>
        <v>1140.4166666666872</v>
      </c>
      <c r="E336" s="6">
        <f t="shared" si="28"/>
        <v>1416.6666666666667</v>
      </c>
      <c r="F336" s="10"/>
      <c r="G336" s="4"/>
      <c r="H336" s="6"/>
    </row>
    <row r="337" spans="1:8" x14ac:dyDescent="0.2">
      <c r="A337" s="2">
        <v>325</v>
      </c>
      <c r="B337" s="9">
        <f t="shared" si="26"/>
        <v>27</v>
      </c>
      <c r="C337" s="4">
        <f t="shared" si="29"/>
        <v>389583.33333334036</v>
      </c>
      <c r="D337" s="5">
        <f t="shared" si="27"/>
        <v>1136.2847222222429</v>
      </c>
      <c r="E337" s="6">
        <f t="shared" si="28"/>
        <v>1416.6666666666667</v>
      </c>
      <c r="F337" s="10"/>
      <c r="G337" s="4"/>
      <c r="H337" s="6"/>
    </row>
    <row r="338" spans="1:8" x14ac:dyDescent="0.2">
      <c r="A338" s="2">
        <v>326</v>
      </c>
      <c r="B338" s="9">
        <f t="shared" si="26"/>
        <v>27</v>
      </c>
      <c r="C338" s="4">
        <f t="shared" si="29"/>
        <v>388166.66666667367</v>
      </c>
      <c r="D338" s="5">
        <f t="shared" si="27"/>
        <v>1132.1527777777983</v>
      </c>
      <c r="E338" s="6">
        <f t="shared" si="28"/>
        <v>1416.6666666666667</v>
      </c>
      <c r="F338" s="10"/>
      <c r="G338" s="4"/>
      <c r="H338" s="6"/>
    </row>
    <row r="339" spans="1:8" x14ac:dyDescent="0.2">
      <c r="A339" s="2">
        <v>327</v>
      </c>
      <c r="B339" s="9">
        <f t="shared" si="26"/>
        <v>27</v>
      </c>
      <c r="C339" s="4">
        <f t="shared" si="29"/>
        <v>386750.00000000698</v>
      </c>
      <c r="D339" s="5">
        <f t="shared" si="27"/>
        <v>1128.0208333333537</v>
      </c>
      <c r="E339" s="6">
        <f t="shared" si="28"/>
        <v>1416.6666666666667</v>
      </c>
      <c r="F339" s="10"/>
      <c r="G339" s="4"/>
      <c r="H339" s="6"/>
    </row>
    <row r="340" spans="1:8" x14ac:dyDescent="0.2">
      <c r="A340" s="2">
        <v>328</v>
      </c>
      <c r="B340" s="9">
        <f t="shared" si="26"/>
        <v>27</v>
      </c>
      <c r="C340" s="4">
        <f t="shared" si="29"/>
        <v>385333.3333333403</v>
      </c>
      <c r="D340" s="5">
        <f t="shared" si="27"/>
        <v>1123.8888888889094</v>
      </c>
      <c r="E340" s="6">
        <f t="shared" si="28"/>
        <v>1416.6666666666667</v>
      </c>
      <c r="F340" s="10"/>
      <c r="G340" s="4"/>
      <c r="H340" s="6"/>
    </row>
    <row r="341" spans="1:8" x14ac:dyDescent="0.2">
      <c r="A341" s="2">
        <v>329</v>
      </c>
      <c r="B341" s="9">
        <f t="shared" si="26"/>
        <v>27</v>
      </c>
      <c r="C341" s="4">
        <f t="shared" si="29"/>
        <v>383916.66666667361</v>
      </c>
      <c r="D341" s="5">
        <f t="shared" si="27"/>
        <v>1119.7569444444648</v>
      </c>
      <c r="E341" s="6">
        <f t="shared" si="28"/>
        <v>1416.6666666666667</v>
      </c>
      <c r="F341" s="10"/>
      <c r="G341" s="4"/>
      <c r="H341" s="6"/>
    </row>
    <row r="342" spans="1:8" x14ac:dyDescent="0.2">
      <c r="A342" s="2">
        <v>330</v>
      </c>
      <c r="B342" s="9">
        <f t="shared" si="26"/>
        <v>27</v>
      </c>
      <c r="C342" s="4">
        <f t="shared" si="29"/>
        <v>382500.00000000693</v>
      </c>
      <c r="D342" s="5">
        <f t="shared" si="27"/>
        <v>1115.6250000000202</v>
      </c>
      <c r="E342" s="6">
        <f t="shared" si="28"/>
        <v>1416.6666666666667</v>
      </c>
      <c r="F342" s="10"/>
      <c r="G342" s="4"/>
      <c r="H342" s="6"/>
    </row>
    <row r="343" spans="1:8" x14ac:dyDescent="0.2">
      <c r="A343" s="2">
        <v>331</v>
      </c>
      <c r="B343" s="9">
        <f t="shared" si="26"/>
        <v>27</v>
      </c>
      <c r="C343" s="4">
        <f t="shared" si="29"/>
        <v>381083.33333334024</v>
      </c>
      <c r="D343" s="5">
        <f t="shared" si="27"/>
        <v>1111.4930555555759</v>
      </c>
      <c r="E343" s="6">
        <f t="shared" si="28"/>
        <v>1416.6666666666667</v>
      </c>
      <c r="F343" s="10"/>
      <c r="G343" s="4"/>
      <c r="H343" s="6"/>
    </row>
    <row r="344" spans="1:8" x14ac:dyDescent="0.2">
      <c r="A344" s="2">
        <v>332</v>
      </c>
      <c r="B344" s="9">
        <f t="shared" si="26"/>
        <v>27</v>
      </c>
      <c r="C344" s="4">
        <f t="shared" si="29"/>
        <v>379666.66666667355</v>
      </c>
      <c r="D344" s="5">
        <f t="shared" si="27"/>
        <v>1107.3611111111313</v>
      </c>
      <c r="E344" s="6">
        <f t="shared" si="28"/>
        <v>1416.6666666666667</v>
      </c>
      <c r="F344" s="10"/>
      <c r="G344" s="4"/>
      <c r="H344" s="6"/>
    </row>
    <row r="345" spans="1:8" x14ac:dyDescent="0.2">
      <c r="A345" s="2">
        <v>333</v>
      </c>
      <c r="B345" s="9">
        <f t="shared" si="26"/>
        <v>27</v>
      </c>
      <c r="C345" s="4">
        <f t="shared" si="29"/>
        <v>378250.00000000687</v>
      </c>
      <c r="D345" s="5">
        <f t="shared" si="27"/>
        <v>1103.2291666666868</v>
      </c>
      <c r="E345" s="6">
        <f t="shared" si="28"/>
        <v>1416.6666666666667</v>
      </c>
      <c r="F345" s="10"/>
      <c r="G345" s="4"/>
      <c r="H345" s="6"/>
    </row>
    <row r="346" spans="1:8" x14ac:dyDescent="0.2">
      <c r="A346" s="2">
        <v>334</v>
      </c>
      <c r="B346" s="9">
        <f t="shared" si="26"/>
        <v>27</v>
      </c>
      <c r="C346" s="4">
        <f t="shared" si="29"/>
        <v>376833.33333334018</v>
      </c>
      <c r="D346" s="5">
        <f t="shared" si="27"/>
        <v>1099.0972222222424</v>
      </c>
      <c r="E346" s="6">
        <f t="shared" si="28"/>
        <v>1416.6666666666667</v>
      </c>
      <c r="F346" s="10"/>
      <c r="G346" s="4"/>
      <c r="H346" s="6"/>
    </row>
    <row r="347" spans="1:8" x14ac:dyDescent="0.2">
      <c r="A347" s="2">
        <v>335</v>
      </c>
      <c r="B347" s="9">
        <f t="shared" si="26"/>
        <v>27</v>
      </c>
      <c r="C347" s="4">
        <f t="shared" si="29"/>
        <v>375416.6666666735</v>
      </c>
      <c r="D347" s="5">
        <f t="shared" si="27"/>
        <v>1094.9652777777978</v>
      </c>
      <c r="E347" s="6">
        <f t="shared" si="28"/>
        <v>1416.6666666666667</v>
      </c>
      <c r="F347" s="10"/>
      <c r="G347" s="4"/>
      <c r="H347" s="6"/>
    </row>
    <row r="348" spans="1:8" x14ac:dyDescent="0.2">
      <c r="A348" s="2">
        <v>336</v>
      </c>
      <c r="B348" s="9">
        <f t="shared" si="26"/>
        <v>28</v>
      </c>
      <c r="C348" s="4">
        <f t="shared" si="29"/>
        <v>374000.00000000681</v>
      </c>
      <c r="D348" s="5">
        <f t="shared" si="27"/>
        <v>1090.8333333333533</v>
      </c>
      <c r="E348" s="6">
        <f t="shared" si="28"/>
        <v>1416.6666666666667</v>
      </c>
      <c r="F348" s="10"/>
      <c r="G348" s="4"/>
      <c r="H348" s="6"/>
    </row>
    <row r="349" spans="1:8" x14ac:dyDescent="0.2">
      <c r="A349" s="2">
        <v>337</v>
      </c>
      <c r="B349" s="9">
        <f t="shared" si="26"/>
        <v>28</v>
      </c>
      <c r="C349" s="4">
        <f t="shared" si="29"/>
        <v>372583.33333334012</v>
      </c>
      <c r="D349" s="5">
        <f t="shared" si="27"/>
        <v>1086.7013888889089</v>
      </c>
      <c r="E349" s="6">
        <f t="shared" si="28"/>
        <v>1416.6666666666667</v>
      </c>
      <c r="F349" s="10"/>
      <c r="G349" s="4"/>
      <c r="H349" s="6"/>
    </row>
    <row r="350" spans="1:8" x14ac:dyDescent="0.2">
      <c r="A350" s="2">
        <v>338</v>
      </c>
      <c r="B350" s="9">
        <f t="shared" si="26"/>
        <v>28</v>
      </c>
      <c r="C350" s="4">
        <f t="shared" si="29"/>
        <v>371166.66666667344</v>
      </c>
      <c r="D350" s="5">
        <f t="shared" si="27"/>
        <v>1082.5694444444644</v>
      </c>
      <c r="E350" s="6">
        <f t="shared" si="28"/>
        <v>1416.6666666666667</v>
      </c>
      <c r="F350" s="10"/>
      <c r="G350" s="4"/>
      <c r="H350" s="6"/>
    </row>
    <row r="351" spans="1:8" x14ac:dyDescent="0.2">
      <c r="A351" s="2">
        <v>339</v>
      </c>
      <c r="B351" s="9">
        <f t="shared" si="26"/>
        <v>28</v>
      </c>
      <c r="C351" s="4">
        <f t="shared" si="29"/>
        <v>369750.00000000675</v>
      </c>
      <c r="D351" s="5">
        <f t="shared" si="27"/>
        <v>1078.4375000000198</v>
      </c>
      <c r="E351" s="6">
        <f t="shared" si="28"/>
        <v>1416.6666666666667</v>
      </c>
      <c r="F351" s="10"/>
      <c r="G351" s="4"/>
      <c r="H351" s="6"/>
    </row>
    <row r="352" spans="1:8" x14ac:dyDescent="0.2">
      <c r="A352" s="2">
        <v>340</v>
      </c>
      <c r="B352" s="9">
        <f t="shared" si="26"/>
        <v>28</v>
      </c>
      <c r="C352" s="4">
        <f t="shared" si="29"/>
        <v>368333.33333334007</v>
      </c>
      <c r="D352" s="5">
        <f t="shared" si="27"/>
        <v>1074.3055555555754</v>
      </c>
      <c r="E352" s="6">
        <f t="shared" si="28"/>
        <v>1416.6666666666667</v>
      </c>
      <c r="F352" s="10"/>
      <c r="G352" s="4"/>
      <c r="H352" s="6"/>
    </row>
    <row r="353" spans="1:8" x14ac:dyDescent="0.2">
      <c r="A353" s="2">
        <v>341</v>
      </c>
      <c r="B353" s="9">
        <f t="shared" si="26"/>
        <v>28</v>
      </c>
      <c r="C353" s="4">
        <f t="shared" si="29"/>
        <v>366916.66666667338</v>
      </c>
      <c r="D353" s="5">
        <f t="shared" si="27"/>
        <v>1070.1736111111309</v>
      </c>
      <c r="E353" s="6">
        <f t="shared" si="28"/>
        <v>1416.6666666666667</v>
      </c>
      <c r="F353" s="10"/>
      <c r="G353" s="4"/>
      <c r="H353" s="6"/>
    </row>
    <row r="354" spans="1:8" x14ac:dyDescent="0.2">
      <c r="A354" s="2">
        <v>342</v>
      </c>
      <c r="B354" s="9">
        <f t="shared" si="26"/>
        <v>28</v>
      </c>
      <c r="C354" s="4">
        <f t="shared" si="29"/>
        <v>365500.00000000669</v>
      </c>
      <c r="D354" s="5">
        <f t="shared" si="27"/>
        <v>1066.0416666666863</v>
      </c>
      <c r="E354" s="6">
        <f t="shared" si="28"/>
        <v>1416.6666666666667</v>
      </c>
      <c r="F354" s="10"/>
      <c r="G354" s="4"/>
      <c r="H354" s="6"/>
    </row>
    <row r="355" spans="1:8" x14ac:dyDescent="0.2">
      <c r="A355" s="2">
        <v>343</v>
      </c>
      <c r="B355" s="9">
        <f t="shared" si="26"/>
        <v>28</v>
      </c>
      <c r="C355" s="4">
        <f t="shared" si="29"/>
        <v>364083.33333334001</v>
      </c>
      <c r="D355" s="5">
        <f t="shared" si="27"/>
        <v>1061.9097222222417</v>
      </c>
      <c r="E355" s="6">
        <f t="shared" si="28"/>
        <v>1416.6666666666667</v>
      </c>
      <c r="F355" s="10"/>
      <c r="G355" s="4"/>
      <c r="H355" s="6"/>
    </row>
    <row r="356" spans="1:8" x14ac:dyDescent="0.2">
      <c r="A356" s="2">
        <v>344</v>
      </c>
      <c r="B356" s="9">
        <f t="shared" si="26"/>
        <v>28</v>
      </c>
      <c r="C356" s="4">
        <f t="shared" si="29"/>
        <v>362666.66666667332</v>
      </c>
      <c r="D356" s="5">
        <f t="shared" si="27"/>
        <v>1057.7777777777972</v>
      </c>
      <c r="E356" s="6">
        <f t="shared" si="28"/>
        <v>1416.6666666666667</v>
      </c>
      <c r="F356" s="10"/>
      <c r="G356" s="4"/>
      <c r="H356" s="6"/>
    </row>
    <row r="357" spans="1:8" x14ac:dyDescent="0.2">
      <c r="A357" s="2">
        <v>345</v>
      </c>
      <c r="B357" s="9">
        <f t="shared" si="26"/>
        <v>28</v>
      </c>
      <c r="C357" s="4">
        <f t="shared" si="29"/>
        <v>361250.00000000664</v>
      </c>
      <c r="D357" s="5">
        <f t="shared" si="27"/>
        <v>1053.6458333333528</v>
      </c>
      <c r="E357" s="6">
        <f t="shared" si="28"/>
        <v>1416.6666666666667</v>
      </c>
      <c r="F357" s="10"/>
      <c r="G357" s="4"/>
      <c r="H357" s="6"/>
    </row>
    <row r="358" spans="1:8" x14ac:dyDescent="0.2">
      <c r="A358" s="2">
        <v>346</v>
      </c>
      <c r="B358" s="9">
        <f t="shared" si="26"/>
        <v>28</v>
      </c>
      <c r="C358" s="4">
        <f t="shared" si="29"/>
        <v>359833.33333333995</v>
      </c>
      <c r="D358" s="5">
        <f t="shared" si="27"/>
        <v>1049.5138888889082</v>
      </c>
      <c r="E358" s="6">
        <f t="shared" si="28"/>
        <v>1416.6666666666667</v>
      </c>
      <c r="F358" s="10"/>
      <c r="G358" s="4"/>
      <c r="H358" s="6"/>
    </row>
    <row r="359" spans="1:8" x14ac:dyDescent="0.2">
      <c r="A359" s="2">
        <v>347</v>
      </c>
      <c r="B359" s="9">
        <f t="shared" si="26"/>
        <v>28</v>
      </c>
      <c r="C359" s="4">
        <f t="shared" si="29"/>
        <v>358416.66666667326</v>
      </c>
      <c r="D359" s="5">
        <f t="shared" si="27"/>
        <v>1045.3819444444637</v>
      </c>
      <c r="E359" s="6">
        <f t="shared" si="28"/>
        <v>1416.6666666666667</v>
      </c>
      <c r="F359" s="10"/>
      <c r="G359" s="4"/>
      <c r="H359" s="6"/>
    </row>
    <row r="360" spans="1:8" x14ac:dyDescent="0.2">
      <c r="A360" s="2">
        <v>348</v>
      </c>
      <c r="B360" s="9">
        <f t="shared" si="26"/>
        <v>29</v>
      </c>
      <c r="C360" s="4">
        <f t="shared" si="29"/>
        <v>357000.00000000658</v>
      </c>
      <c r="D360" s="5">
        <f t="shared" si="27"/>
        <v>1041.2500000000193</v>
      </c>
      <c r="E360" s="6">
        <f t="shared" si="28"/>
        <v>1416.6666666666667</v>
      </c>
      <c r="F360" s="10"/>
      <c r="G360" s="4"/>
      <c r="H360" s="6"/>
    </row>
    <row r="361" spans="1:8" x14ac:dyDescent="0.2">
      <c r="A361" s="2">
        <v>349</v>
      </c>
      <c r="B361" s="9">
        <f t="shared" si="26"/>
        <v>29</v>
      </c>
      <c r="C361" s="4">
        <f t="shared" si="29"/>
        <v>355583.33333333989</v>
      </c>
      <c r="D361" s="5">
        <f t="shared" si="27"/>
        <v>1037.1180555555748</v>
      </c>
      <c r="E361" s="6">
        <f t="shared" si="28"/>
        <v>1416.6666666666667</v>
      </c>
      <c r="F361" s="10"/>
      <c r="G361" s="4"/>
      <c r="H361" s="6"/>
    </row>
    <row r="362" spans="1:8" x14ac:dyDescent="0.2">
      <c r="A362" s="2">
        <v>350</v>
      </c>
      <c r="B362" s="9">
        <f t="shared" si="26"/>
        <v>29</v>
      </c>
      <c r="C362" s="4">
        <f t="shared" si="29"/>
        <v>354166.66666667321</v>
      </c>
      <c r="D362" s="5">
        <f t="shared" si="27"/>
        <v>1032.9861111111302</v>
      </c>
      <c r="E362" s="6">
        <f t="shared" si="28"/>
        <v>1416.6666666666667</v>
      </c>
      <c r="F362" s="10"/>
      <c r="G362" s="4"/>
      <c r="H362" s="6"/>
    </row>
    <row r="363" spans="1:8" x14ac:dyDescent="0.2">
      <c r="A363" s="2">
        <v>351</v>
      </c>
      <c r="B363" s="9">
        <f t="shared" si="26"/>
        <v>29</v>
      </c>
      <c r="C363" s="4">
        <f t="shared" si="29"/>
        <v>352750.00000000652</v>
      </c>
      <c r="D363" s="5">
        <f t="shared" si="27"/>
        <v>1028.8541666666858</v>
      </c>
      <c r="E363" s="6">
        <f t="shared" si="28"/>
        <v>1416.6666666666667</v>
      </c>
      <c r="F363" s="10"/>
      <c r="G363" s="4"/>
      <c r="H363" s="6"/>
    </row>
    <row r="364" spans="1:8" x14ac:dyDescent="0.2">
      <c r="A364" s="2">
        <v>352</v>
      </c>
      <c r="B364" s="9">
        <f t="shared" si="26"/>
        <v>29</v>
      </c>
      <c r="C364" s="4">
        <f t="shared" si="29"/>
        <v>351333.33333333983</v>
      </c>
      <c r="D364" s="5">
        <f t="shared" si="27"/>
        <v>1024.7222222222413</v>
      </c>
      <c r="E364" s="6">
        <f t="shared" si="28"/>
        <v>1416.6666666666667</v>
      </c>
      <c r="F364" s="10"/>
      <c r="G364" s="4"/>
      <c r="H364" s="6"/>
    </row>
    <row r="365" spans="1:8" x14ac:dyDescent="0.2">
      <c r="A365" s="2">
        <v>353</v>
      </c>
      <c r="B365" s="9">
        <f t="shared" si="26"/>
        <v>29</v>
      </c>
      <c r="C365" s="4">
        <f t="shared" si="29"/>
        <v>349916.66666667315</v>
      </c>
      <c r="D365" s="5">
        <f t="shared" si="27"/>
        <v>1020.5902777777968</v>
      </c>
      <c r="E365" s="6">
        <f t="shared" si="28"/>
        <v>1416.6666666666667</v>
      </c>
      <c r="F365" s="10"/>
      <c r="G365" s="4"/>
      <c r="H365" s="6"/>
    </row>
    <row r="366" spans="1:8" x14ac:dyDescent="0.2">
      <c r="A366" s="2">
        <v>354</v>
      </c>
      <c r="B366" s="9">
        <f t="shared" si="26"/>
        <v>29</v>
      </c>
      <c r="C366" s="4">
        <f t="shared" si="29"/>
        <v>348500.00000000646</v>
      </c>
      <c r="D366" s="5">
        <f t="shared" si="27"/>
        <v>1016.4583333333522</v>
      </c>
      <c r="E366" s="6">
        <f t="shared" si="28"/>
        <v>1416.6666666666667</v>
      </c>
      <c r="F366" s="10"/>
      <c r="G366" s="4"/>
      <c r="H366" s="6"/>
    </row>
    <row r="367" spans="1:8" x14ac:dyDescent="0.2">
      <c r="A367" s="2">
        <v>355</v>
      </c>
      <c r="B367" s="9">
        <f t="shared" si="26"/>
        <v>29</v>
      </c>
      <c r="C367" s="4">
        <f t="shared" si="29"/>
        <v>347083.33333333977</v>
      </c>
      <c r="D367" s="5">
        <f t="shared" si="27"/>
        <v>1012.3263888889078</v>
      </c>
      <c r="E367" s="6">
        <f t="shared" si="28"/>
        <v>1416.6666666666667</v>
      </c>
      <c r="F367" s="10"/>
      <c r="G367" s="4"/>
      <c r="H367" s="6"/>
    </row>
    <row r="368" spans="1:8" x14ac:dyDescent="0.2">
      <c r="A368" s="2">
        <v>356</v>
      </c>
      <c r="B368" s="9">
        <f t="shared" si="26"/>
        <v>29</v>
      </c>
      <c r="C368" s="4">
        <f t="shared" si="29"/>
        <v>345666.66666667309</v>
      </c>
      <c r="D368" s="5">
        <f t="shared" si="27"/>
        <v>1008.1944444444633</v>
      </c>
      <c r="E368" s="6">
        <f t="shared" si="28"/>
        <v>1416.6666666666667</v>
      </c>
      <c r="F368" s="10"/>
      <c r="G368" s="4"/>
      <c r="H368" s="6"/>
    </row>
    <row r="369" spans="1:8" x14ac:dyDescent="0.2">
      <c r="A369" s="2">
        <v>357</v>
      </c>
      <c r="B369" s="9">
        <f t="shared" si="26"/>
        <v>29</v>
      </c>
      <c r="C369" s="4">
        <f t="shared" si="29"/>
        <v>344250.0000000064</v>
      </c>
      <c r="D369" s="5">
        <f t="shared" si="27"/>
        <v>1004.0625000000188</v>
      </c>
      <c r="E369" s="6">
        <f t="shared" si="28"/>
        <v>1416.6666666666667</v>
      </c>
      <c r="F369" s="10"/>
      <c r="G369" s="4"/>
      <c r="H369" s="6"/>
    </row>
    <row r="370" spans="1:8" x14ac:dyDescent="0.2">
      <c r="A370" s="2">
        <v>358</v>
      </c>
      <c r="B370" s="9">
        <f t="shared" si="26"/>
        <v>29</v>
      </c>
      <c r="C370" s="4">
        <f t="shared" si="29"/>
        <v>342833.33333333972</v>
      </c>
      <c r="D370" s="5">
        <f t="shared" si="27"/>
        <v>999.9305555555743</v>
      </c>
      <c r="E370" s="6">
        <f t="shared" si="28"/>
        <v>1416.6666666666667</v>
      </c>
      <c r="F370" s="10"/>
      <c r="G370" s="4"/>
      <c r="H370" s="6"/>
    </row>
    <row r="371" spans="1:8" x14ac:dyDescent="0.2">
      <c r="A371" s="2">
        <v>359</v>
      </c>
      <c r="B371" s="9">
        <f t="shared" si="26"/>
        <v>29</v>
      </c>
      <c r="C371" s="4">
        <f t="shared" si="29"/>
        <v>341416.66666667303</v>
      </c>
      <c r="D371" s="5">
        <f t="shared" si="27"/>
        <v>995.79861111112984</v>
      </c>
      <c r="E371" s="6">
        <f t="shared" si="28"/>
        <v>1416.6666666666667</v>
      </c>
      <c r="F371" s="10"/>
      <c r="G371" s="4"/>
      <c r="H371" s="6"/>
    </row>
    <row r="372" spans="1:8" x14ac:dyDescent="0.2">
      <c r="A372" s="2">
        <v>360</v>
      </c>
      <c r="B372" s="9">
        <f t="shared" ref="B372:B397" si="30">ROUNDDOWN(A372/$B$4,0)</f>
        <v>30</v>
      </c>
      <c r="C372" s="4">
        <f t="shared" ref="C372:C397" si="31">C371-E371</f>
        <v>340000.00000000634</v>
      </c>
      <c r="D372" s="5">
        <f t="shared" ref="D372:D397" si="32">$B$2*C372/$B$4</f>
        <v>991.66666666668527</v>
      </c>
      <c r="E372" s="6">
        <f t="shared" si="28"/>
        <v>1416.6666666666667</v>
      </c>
    </row>
    <row r="373" spans="1:8" x14ac:dyDescent="0.2">
      <c r="A373" s="2">
        <v>361</v>
      </c>
      <c r="B373" s="9">
        <f t="shared" si="30"/>
        <v>30</v>
      </c>
      <c r="C373" s="4">
        <f t="shared" si="31"/>
        <v>338583.33333333966</v>
      </c>
      <c r="D373" s="5">
        <f t="shared" si="32"/>
        <v>987.53472222224082</v>
      </c>
      <c r="E373" s="6">
        <f t="shared" si="28"/>
        <v>1416.6666666666667</v>
      </c>
    </row>
    <row r="374" spans="1:8" x14ac:dyDescent="0.2">
      <c r="A374" s="2">
        <v>362</v>
      </c>
      <c r="B374" s="9">
        <f t="shared" si="30"/>
        <v>30</v>
      </c>
      <c r="C374" s="4">
        <f t="shared" si="31"/>
        <v>337166.66666667297</v>
      </c>
      <c r="D374" s="5">
        <f t="shared" si="32"/>
        <v>983.40277777779636</v>
      </c>
      <c r="E374" s="6">
        <f t="shared" si="28"/>
        <v>1416.6666666666667</v>
      </c>
    </row>
    <row r="375" spans="1:8" x14ac:dyDescent="0.2">
      <c r="A375" s="2">
        <v>363</v>
      </c>
      <c r="B375" s="9">
        <f t="shared" si="30"/>
        <v>30</v>
      </c>
      <c r="C375" s="4">
        <f t="shared" si="31"/>
        <v>335750.00000000629</v>
      </c>
      <c r="D375" s="5">
        <f t="shared" si="32"/>
        <v>979.27083333335179</v>
      </c>
      <c r="E375" s="6">
        <f t="shared" si="28"/>
        <v>1416.6666666666667</v>
      </c>
    </row>
    <row r="376" spans="1:8" x14ac:dyDescent="0.2">
      <c r="A376" s="2">
        <v>364</v>
      </c>
      <c r="B376" s="9">
        <f t="shared" si="30"/>
        <v>30</v>
      </c>
      <c r="C376" s="4">
        <f t="shared" si="31"/>
        <v>334333.3333333396</v>
      </c>
      <c r="D376" s="5">
        <f t="shared" si="32"/>
        <v>975.13888888890733</v>
      </c>
      <c r="E376" s="6">
        <f t="shared" si="28"/>
        <v>1416.6666666666667</v>
      </c>
    </row>
    <row r="377" spans="1:8" x14ac:dyDescent="0.2">
      <c r="A377" s="2">
        <v>365</v>
      </c>
      <c r="B377" s="9">
        <f t="shared" si="30"/>
        <v>30</v>
      </c>
      <c r="C377" s="4">
        <f t="shared" si="31"/>
        <v>332916.66666667291</v>
      </c>
      <c r="D377" s="5">
        <f t="shared" si="32"/>
        <v>971.00694444446265</v>
      </c>
      <c r="E377" s="6">
        <f t="shared" si="28"/>
        <v>1416.6666666666667</v>
      </c>
    </row>
    <row r="378" spans="1:8" x14ac:dyDescent="0.2">
      <c r="A378" s="2">
        <v>366</v>
      </c>
      <c r="B378" s="9">
        <f t="shared" si="30"/>
        <v>30</v>
      </c>
      <c r="C378" s="4">
        <f t="shared" si="31"/>
        <v>331500.00000000623</v>
      </c>
      <c r="D378" s="5">
        <f t="shared" si="32"/>
        <v>966.87500000001819</v>
      </c>
      <c r="E378" s="6">
        <f t="shared" si="28"/>
        <v>1416.6666666666667</v>
      </c>
    </row>
    <row r="379" spans="1:8" x14ac:dyDescent="0.2">
      <c r="A379" s="2">
        <v>367</v>
      </c>
      <c r="B379" s="9">
        <f t="shared" si="30"/>
        <v>30</v>
      </c>
      <c r="C379" s="4">
        <f t="shared" si="31"/>
        <v>330083.33333333954</v>
      </c>
      <c r="D379" s="5">
        <f t="shared" si="32"/>
        <v>962.74305555557373</v>
      </c>
      <c r="E379" s="6">
        <f t="shared" si="28"/>
        <v>1416.6666666666667</v>
      </c>
    </row>
    <row r="380" spans="1:8" x14ac:dyDescent="0.2">
      <c r="A380" s="2">
        <v>368</v>
      </c>
      <c r="B380" s="9">
        <f t="shared" si="30"/>
        <v>30</v>
      </c>
      <c r="C380" s="4">
        <f t="shared" si="31"/>
        <v>328666.66666667286</v>
      </c>
      <c r="D380" s="5">
        <f t="shared" si="32"/>
        <v>958.61111111112916</v>
      </c>
      <c r="E380" s="6">
        <f t="shared" si="28"/>
        <v>1416.6666666666667</v>
      </c>
    </row>
    <row r="381" spans="1:8" x14ac:dyDescent="0.2">
      <c r="A381" s="2">
        <v>369</v>
      </c>
      <c r="B381" s="9">
        <f t="shared" si="30"/>
        <v>30</v>
      </c>
      <c r="C381" s="4">
        <f t="shared" si="31"/>
        <v>327250.00000000617</v>
      </c>
      <c r="D381" s="5">
        <f t="shared" si="32"/>
        <v>954.4791666666847</v>
      </c>
      <c r="E381" s="6">
        <f t="shared" si="28"/>
        <v>1416.6666666666667</v>
      </c>
    </row>
    <row r="382" spans="1:8" x14ac:dyDescent="0.2">
      <c r="A382" s="2">
        <v>370</v>
      </c>
      <c r="B382" s="9">
        <f t="shared" si="30"/>
        <v>30</v>
      </c>
      <c r="C382" s="4">
        <f t="shared" si="31"/>
        <v>325833.33333333948</v>
      </c>
      <c r="D382" s="5">
        <f t="shared" si="32"/>
        <v>950.34722222224025</v>
      </c>
      <c r="E382" s="6">
        <f t="shared" si="28"/>
        <v>1416.6666666666667</v>
      </c>
    </row>
    <row r="383" spans="1:8" x14ac:dyDescent="0.2">
      <c r="A383" s="2">
        <v>371</v>
      </c>
      <c r="B383" s="9">
        <f t="shared" si="30"/>
        <v>30</v>
      </c>
      <c r="C383" s="4">
        <f t="shared" si="31"/>
        <v>324416.6666666728</v>
      </c>
      <c r="D383" s="5">
        <f t="shared" si="32"/>
        <v>946.21527777779568</v>
      </c>
      <c r="E383" s="6">
        <f t="shared" si="28"/>
        <v>1416.6666666666667</v>
      </c>
    </row>
    <row r="384" spans="1:8" x14ac:dyDescent="0.2">
      <c r="A384" s="2">
        <v>372</v>
      </c>
      <c r="B384" s="9">
        <f t="shared" si="30"/>
        <v>31</v>
      </c>
      <c r="C384" s="4">
        <f t="shared" si="31"/>
        <v>323000.00000000611</v>
      </c>
      <c r="D384" s="5">
        <f t="shared" si="32"/>
        <v>942.08333333335122</v>
      </c>
      <c r="E384" s="6">
        <f t="shared" si="28"/>
        <v>1416.6666666666667</v>
      </c>
    </row>
    <row r="385" spans="1:5" x14ac:dyDescent="0.2">
      <c r="A385" s="2">
        <v>373</v>
      </c>
      <c r="B385" s="9">
        <f t="shared" si="30"/>
        <v>31</v>
      </c>
      <c r="C385" s="4">
        <f t="shared" si="31"/>
        <v>321583.33333333943</v>
      </c>
      <c r="D385" s="5">
        <f t="shared" si="32"/>
        <v>937.95138888890676</v>
      </c>
      <c r="E385" s="6">
        <f t="shared" si="28"/>
        <v>1416.6666666666667</v>
      </c>
    </row>
    <row r="386" spans="1:5" x14ac:dyDescent="0.2">
      <c r="A386" s="2">
        <v>374</v>
      </c>
      <c r="B386" s="9">
        <f t="shared" si="30"/>
        <v>31</v>
      </c>
      <c r="C386" s="4">
        <f t="shared" si="31"/>
        <v>320166.66666667274</v>
      </c>
      <c r="D386" s="5">
        <f t="shared" si="32"/>
        <v>933.81944444446219</v>
      </c>
      <c r="E386" s="6">
        <f t="shared" si="28"/>
        <v>1416.6666666666667</v>
      </c>
    </row>
    <row r="387" spans="1:5" x14ac:dyDescent="0.2">
      <c r="A387" s="2">
        <v>375</v>
      </c>
      <c r="B387" s="9">
        <f t="shared" si="30"/>
        <v>31</v>
      </c>
      <c r="C387" s="4">
        <f t="shared" si="31"/>
        <v>318750.00000000605</v>
      </c>
      <c r="D387" s="5">
        <f t="shared" si="32"/>
        <v>929.68750000001774</v>
      </c>
      <c r="E387" s="6">
        <f t="shared" si="28"/>
        <v>1416.6666666666667</v>
      </c>
    </row>
    <row r="388" spans="1:5" x14ac:dyDescent="0.2">
      <c r="A388" s="2">
        <v>376</v>
      </c>
      <c r="B388" s="9">
        <f t="shared" si="30"/>
        <v>31</v>
      </c>
      <c r="C388" s="4">
        <f t="shared" si="31"/>
        <v>317333.33333333937</v>
      </c>
      <c r="D388" s="5">
        <f t="shared" si="32"/>
        <v>925.55555555557328</v>
      </c>
      <c r="E388" s="6">
        <f t="shared" si="28"/>
        <v>1416.6666666666667</v>
      </c>
    </row>
    <row r="389" spans="1:5" x14ac:dyDescent="0.2">
      <c r="A389" s="2">
        <v>377</v>
      </c>
      <c r="B389" s="9">
        <f t="shared" si="30"/>
        <v>31</v>
      </c>
      <c r="C389" s="4">
        <f t="shared" si="31"/>
        <v>315916.66666667268</v>
      </c>
      <c r="D389" s="5">
        <f t="shared" si="32"/>
        <v>921.42361111112871</v>
      </c>
      <c r="E389" s="6">
        <f t="shared" si="28"/>
        <v>1416.6666666666667</v>
      </c>
    </row>
    <row r="390" spans="1:5" x14ac:dyDescent="0.2">
      <c r="A390" s="2">
        <v>378</v>
      </c>
      <c r="B390" s="9">
        <f t="shared" si="30"/>
        <v>31</v>
      </c>
      <c r="C390" s="4">
        <f t="shared" si="31"/>
        <v>314500.000000006</v>
      </c>
      <c r="D390" s="5">
        <f t="shared" si="32"/>
        <v>917.29166666668425</v>
      </c>
      <c r="E390" s="6">
        <f t="shared" si="28"/>
        <v>1416.6666666666667</v>
      </c>
    </row>
    <row r="391" spans="1:5" x14ac:dyDescent="0.2">
      <c r="A391" s="2">
        <v>379</v>
      </c>
      <c r="B391" s="9">
        <f t="shared" si="30"/>
        <v>31</v>
      </c>
      <c r="C391" s="4">
        <f t="shared" si="31"/>
        <v>313083.33333333931</v>
      </c>
      <c r="D391" s="5">
        <f t="shared" si="32"/>
        <v>913.15972222223979</v>
      </c>
      <c r="E391" s="6">
        <f t="shared" si="28"/>
        <v>1416.6666666666667</v>
      </c>
    </row>
    <row r="392" spans="1:5" x14ac:dyDescent="0.2">
      <c r="A392" s="2">
        <v>380</v>
      </c>
      <c r="B392" s="9">
        <f t="shared" si="30"/>
        <v>31</v>
      </c>
      <c r="C392" s="4">
        <f t="shared" si="31"/>
        <v>311666.66666667262</v>
      </c>
      <c r="D392" s="5">
        <f t="shared" si="32"/>
        <v>909.02777777779522</v>
      </c>
      <c r="E392" s="6">
        <f t="shared" si="28"/>
        <v>1416.6666666666667</v>
      </c>
    </row>
    <row r="393" spans="1:5" x14ac:dyDescent="0.2">
      <c r="A393" s="2">
        <v>381</v>
      </c>
      <c r="B393" s="9">
        <f t="shared" si="30"/>
        <v>31</v>
      </c>
      <c r="C393" s="4">
        <f t="shared" si="31"/>
        <v>310250.00000000594</v>
      </c>
      <c r="D393" s="5">
        <f t="shared" si="32"/>
        <v>904.89583333335077</v>
      </c>
      <c r="E393" s="6">
        <f t="shared" si="28"/>
        <v>1416.6666666666667</v>
      </c>
    </row>
    <row r="394" spans="1:5" x14ac:dyDescent="0.2">
      <c r="A394" s="2">
        <v>382</v>
      </c>
      <c r="B394" s="9">
        <f t="shared" si="30"/>
        <v>31</v>
      </c>
      <c r="C394" s="4">
        <f t="shared" si="31"/>
        <v>308833.33333333925</v>
      </c>
      <c r="D394" s="5">
        <f t="shared" si="32"/>
        <v>900.76388888890631</v>
      </c>
      <c r="E394" s="6">
        <f t="shared" si="28"/>
        <v>1416.6666666666667</v>
      </c>
    </row>
    <row r="395" spans="1:5" x14ac:dyDescent="0.2">
      <c r="A395" s="2">
        <v>383</v>
      </c>
      <c r="B395" s="9">
        <f t="shared" si="30"/>
        <v>31</v>
      </c>
      <c r="C395" s="4">
        <f t="shared" si="31"/>
        <v>307416.66666667257</v>
      </c>
      <c r="D395" s="5">
        <f t="shared" si="32"/>
        <v>896.63194444446174</v>
      </c>
      <c r="E395" s="6">
        <f t="shared" si="28"/>
        <v>1416.6666666666667</v>
      </c>
    </row>
    <row r="396" spans="1:5" x14ac:dyDescent="0.2">
      <c r="A396" s="2">
        <v>384</v>
      </c>
      <c r="B396" s="9">
        <f t="shared" si="30"/>
        <v>32</v>
      </c>
      <c r="C396" s="4">
        <f t="shared" si="31"/>
        <v>306000.00000000588</v>
      </c>
      <c r="D396" s="5">
        <f t="shared" si="32"/>
        <v>892.50000000001728</v>
      </c>
      <c r="E396" s="6">
        <f t="shared" si="28"/>
        <v>1416.6666666666667</v>
      </c>
    </row>
    <row r="397" spans="1:5" x14ac:dyDescent="0.2">
      <c r="A397" s="2">
        <v>385</v>
      </c>
      <c r="B397" s="9">
        <f t="shared" si="30"/>
        <v>32</v>
      </c>
      <c r="C397" s="4">
        <f t="shared" si="31"/>
        <v>304583.33333333919</v>
      </c>
      <c r="D397" s="5">
        <f t="shared" si="32"/>
        <v>888.36805555557282</v>
      </c>
      <c r="E397" s="6">
        <f t="shared" si="28"/>
        <v>1416.6666666666667</v>
      </c>
    </row>
    <row r="398" spans="1:5" x14ac:dyDescent="0.2">
      <c r="A398" s="2">
        <v>386</v>
      </c>
      <c r="B398" s="9">
        <f t="shared" ref="B398:B461" si="33">ROUNDDOWN(A398/$B$4,0)</f>
        <v>32</v>
      </c>
      <c r="C398" s="4">
        <f t="shared" ref="C398:C461" si="34">C397-E397</f>
        <v>303166.66666667251</v>
      </c>
      <c r="D398" s="5">
        <f t="shared" ref="D398:D461" si="35">$B$2*C398/$B$4</f>
        <v>884.23611111112825</v>
      </c>
      <c r="E398" s="6">
        <f t="shared" ref="E398:E461" si="36">$B$7</f>
        <v>1416.6666666666667</v>
      </c>
    </row>
    <row r="399" spans="1:5" x14ac:dyDescent="0.2">
      <c r="A399" s="2">
        <v>387</v>
      </c>
      <c r="B399" s="9">
        <f t="shared" si="33"/>
        <v>32</v>
      </c>
      <c r="C399" s="4">
        <f t="shared" si="34"/>
        <v>301750.00000000582</v>
      </c>
      <c r="D399" s="5">
        <f t="shared" si="35"/>
        <v>880.1041666666838</v>
      </c>
      <c r="E399" s="6">
        <f t="shared" si="36"/>
        <v>1416.6666666666667</v>
      </c>
    </row>
    <row r="400" spans="1:5" x14ac:dyDescent="0.2">
      <c r="A400" s="2">
        <v>388</v>
      </c>
      <c r="B400" s="9">
        <f t="shared" si="33"/>
        <v>32</v>
      </c>
      <c r="C400" s="4">
        <f t="shared" si="34"/>
        <v>300333.33333333913</v>
      </c>
      <c r="D400" s="5">
        <f t="shared" si="35"/>
        <v>875.97222222223934</v>
      </c>
      <c r="E400" s="6">
        <f t="shared" si="36"/>
        <v>1416.6666666666667</v>
      </c>
    </row>
    <row r="401" spans="1:5" x14ac:dyDescent="0.2">
      <c r="A401" s="2">
        <v>389</v>
      </c>
      <c r="B401" s="9">
        <f t="shared" si="33"/>
        <v>32</v>
      </c>
      <c r="C401" s="4">
        <f t="shared" si="34"/>
        <v>298916.66666667245</v>
      </c>
      <c r="D401" s="5">
        <f t="shared" si="35"/>
        <v>871.84027777779465</v>
      </c>
      <c r="E401" s="6">
        <f t="shared" si="36"/>
        <v>1416.6666666666667</v>
      </c>
    </row>
    <row r="402" spans="1:5" x14ac:dyDescent="0.2">
      <c r="A402" s="2">
        <v>390</v>
      </c>
      <c r="B402" s="9">
        <f t="shared" si="33"/>
        <v>32</v>
      </c>
      <c r="C402" s="4">
        <f t="shared" si="34"/>
        <v>297500.00000000576</v>
      </c>
      <c r="D402" s="5">
        <f t="shared" si="35"/>
        <v>867.7083333333502</v>
      </c>
      <c r="E402" s="6">
        <f t="shared" si="36"/>
        <v>1416.6666666666667</v>
      </c>
    </row>
    <row r="403" spans="1:5" x14ac:dyDescent="0.2">
      <c r="A403" s="2">
        <v>391</v>
      </c>
      <c r="B403" s="9">
        <f t="shared" si="33"/>
        <v>32</v>
      </c>
      <c r="C403" s="4">
        <f t="shared" si="34"/>
        <v>296083.33333333908</v>
      </c>
      <c r="D403" s="5">
        <f t="shared" si="35"/>
        <v>863.57638888890563</v>
      </c>
      <c r="E403" s="6">
        <f t="shared" si="36"/>
        <v>1416.6666666666667</v>
      </c>
    </row>
    <row r="404" spans="1:5" x14ac:dyDescent="0.2">
      <c r="A404" s="2">
        <v>392</v>
      </c>
      <c r="B404" s="9">
        <f t="shared" si="33"/>
        <v>32</v>
      </c>
      <c r="C404" s="4">
        <f t="shared" si="34"/>
        <v>294666.66666667239</v>
      </c>
      <c r="D404" s="5">
        <f t="shared" si="35"/>
        <v>859.44444444446117</v>
      </c>
      <c r="E404" s="6">
        <f t="shared" si="36"/>
        <v>1416.6666666666667</v>
      </c>
    </row>
    <row r="405" spans="1:5" x14ac:dyDescent="0.2">
      <c r="A405" s="2">
        <v>393</v>
      </c>
      <c r="B405" s="9">
        <f t="shared" si="33"/>
        <v>32</v>
      </c>
      <c r="C405" s="4">
        <f t="shared" si="34"/>
        <v>293250.0000000057</v>
      </c>
      <c r="D405" s="5">
        <f t="shared" si="35"/>
        <v>855.31250000001671</v>
      </c>
      <c r="E405" s="6">
        <f t="shared" si="36"/>
        <v>1416.6666666666667</v>
      </c>
    </row>
    <row r="406" spans="1:5" x14ac:dyDescent="0.2">
      <c r="A406" s="2">
        <v>394</v>
      </c>
      <c r="B406" s="9">
        <f t="shared" si="33"/>
        <v>32</v>
      </c>
      <c r="C406" s="4">
        <f t="shared" si="34"/>
        <v>291833.33333333902</v>
      </c>
      <c r="D406" s="5">
        <f t="shared" si="35"/>
        <v>851.18055555557214</v>
      </c>
      <c r="E406" s="6">
        <f t="shared" si="36"/>
        <v>1416.6666666666667</v>
      </c>
    </row>
    <row r="407" spans="1:5" x14ac:dyDescent="0.2">
      <c r="A407" s="2">
        <v>395</v>
      </c>
      <c r="B407" s="9">
        <f t="shared" si="33"/>
        <v>32</v>
      </c>
      <c r="C407" s="4">
        <f t="shared" si="34"/>
        <v>290416.66666667233</v>
      </c>
      <c r="D407" s="5">
        <f t="shared" si="35"/>
        <v>847.04861111112768</v>
      </c>
      <c r="E407" s="6">
        <f t="shared" si="36"/>
        <v>1416.6666666666667</v>
      </c>
    </row>
    <row r="408" spans="1:5" x14ac:dyDescent="0.2">
      <c r="A408" s="2">
        <v>396</v>
      </c>
      <c r="B408" s="9">
        <f t="shared" si="33"/>
        <v>33</v>
      </c>
      <c r="C408" s="4">
        <f t="shared" si="34"/>
        <v>289000.00000000565</v>
      </c>
      <c r="D408" s="5">
        <f t="shared" si="35"/>
        <v>842.91666666668323</v>
      </c>
      <c r="E408" s="6">
        <f t="shared" si="36"/>
        <v>1416.6666666666667</v>
      </c>
    </row>
    <row r="409" spans="1:5" x14ac:dyDescent="0.2">
      <c r="A409" s="2">
        <v>397</v>
      </c>
      <c r="B409" s="9">
        <f t="shared" si="33"/>
        <v>33</v>
      </c>
      <c r="C409" s="4">
        <f t="shared" si="34"/>
        <v>287583.33333333896</v>
      </c>
      <c r="D409" s="5">
        <f t="shared" si="35"/>
        <v>838.78472222223866</v>
      </c>
      <c r="E409" s="6">
        <f t="shared" si="36"/>
        <v>1416.6666666666667</v>
      </c>
    </row>
    <row r="410" spans="1:5" x14ac:dyDescent="0.2">
      <c r="A410" s="2">
        <v>398</v>
      </c>
      <c r="B410" s="9">
        <f t="shared" si="33"/>
        <v>33</v>
      </c>
      <c r="C410" s="4">
        <f t="shared" si="34"/>
        <v>286166.66666667227</v>
      </c>
      <c r="D410" s="5">
        <f t="shared" si="35"/>
        <v>834.6527777777942</v>
      </c>
      <c r="E410" s="6">
        <f t="shared" si="36"/>
        <v>1416.6666666666667</v>
      </c>
    </row>
    <row r="411" spans="1:5" x14ac:dyDescent="0.2">
      <c r="A411" s="2">
        <v>399</v>
      </c>
      <c r="B411" s="9">
        <f t="shared" si="33"/>
        <v>33</v>
      </c>
      <c r="C411" s="4">
        <f t="shared" si="34"/>
        <v>284750.00000000559</v>
      </c>
      <c r="D411" s="5">
        <f t="shared" si="35"/>
        <v>830.52083333334974</v>
      </c>
      <c r="E411" s="6">
        <f t="shared" si="36"/>
        <v>1416.6666666666667</v>
      </c>
    </row>
    <row r="412" spans="1:5" x14ac:dyDescent="0.2">
      <c r="A412" s="2">
        <v>400</v>
      </c>
      <c r="B412" s="9">
        <f t="shared" si="33"/>
        <v>33</v>
      </c>
      <c r="C412" s="4">
        <f t="shared" si="34"/>
        <v>283333.3333333389</v>
      </c>
      <c r="D412" s="5">
        <f t="shared" si="35"/>
        <v>826.38888888890517</v>
      </c>
      <c r="E412" s="6">
        <f t="shared" si="36"/>
        <v>1416.6666666666667</v>
      </c>
    </row>
    <row r="413" spans="1:5" x14ac:dyDescent="0.2">
      <c r="A413" s="2">
        <v>401</v>
      </c>
      <c r="B413" s="9">
        <f t="shared" si="33"/>
        <v>33</v>
      </c>
      <c r="C413" s="4">
        <f t="shared" si="34"/>
        <v>281916.66666667222</v>
      </c>
      <c r="D413" s="5">
        <f t="shared" si="35"/>
        <v>822.25694444446071</v>
      </c>
      <c r="E413" s="6">
        <f t="shared" si="36"/>
        <v>1416.6666666666667</v>
      </c>
    </row>
    <row r="414" spans="1:5" x14ac:dyDescent="0.2">
      <c r="A414" s="2">
        <v>402</v>
      </c>
      <c r="B414" s="9">
        <f t="shared" si="33"/>
        <v>33</v>
      </c>
      <c r="C414" s="4">
        <f t="shared" si="34"/>
        <v>280500.00000000553</v>
      </c>
      <c r="D414" s="5">
        <f t="shared" si="35"/>
        <v>818.12500000001626</v>
      </c>
      <c r="E414" s="6">
        <f t="shared" si="36"/>
        <v>1416.6666666666667</v>
      </c>
    </row>
    <row r="415" spans="1:5" x14ac:dyDescent="0.2">
      <c r="A415" s="2">
        <v>403</v>
      </c>
      <c r="B415" s="9">
        <f t="shared" si="33"/>
        <v>33</v>
      </c>
      <c r="C415" s="4">
        <f t="shared" si="34"/>
        <v>279083.33333333884</v>
      </c>
      <c r="D415" s="5">
        <f t="shared" si="35"/>
        <v>813.99305555557169</v>
      </c>
      <c r="E415" s="6">
        <f t="shared" si="36"/>
        <v>1416.6666666666667</v>
      </c>
    </row>
    <row r="416" spans="1:5" x14ac:dyDescent="0.2">
      <c r="A416" s="2">
        <v>404</v>
      </c>
      <c r="B416" s="9">
        <f t="shared" si="33"/>
        <v>33</v>
      </c>
      <c r="C416" s="4">
        <f t="shared" si="34"/>
        <v>277666.66666667216</v>
      </c>
      <c r="D416" s="5">
        <f t="shared" si="35"/>
        <v>809.86111111112723</v>
      </c>
      <c r="E416" s="6">
        <f t="shared" si="36"/>
        <v>1416.6666666666667</v>
      </c>
    </row>
    <row r="417" spans="1:5" x14ac:dyDescent="0.2">
      <c r="A417" s="2">
        <v>405</v>
      </c>
      <c r="B417" s="9">
        <f t="shared" si="33"/>
        <v>33</v>
      </c>
      <c r="C417" s="4">
        <f t="shared" si="34"/>
        <v>276250.00000000547</v>
      </c>
      <c r="D417" s="5">
        <f t="shared" si="35"/>
        <v>805.72916666668277</v>
      </c>
      <c r="E417" s="6">
        <f t="shared" si="36"/>
        <v>1416.6666666666667</v>
      </c>
    </row>
    <row r="418" spans="1:5" x14ac:dyDescent="0.2">
      <c r="A418" s="2">
        <v>406</v>
      </c>
      <c r="B418" s="9">
        <f t="shared" si="33"/>
        <v>33</v>
      </c>
      <c r="C418" s="4">
        <f t="shared" si="34"/>
        <v>274833.33333333879</v>
      </c>
      <c r="D418" s="5">
        <f t="shared" si="35"/>
        <v>801.5972222222382</v>
      </c>
      <c r="E418" s="6">
        <f t="shared" si="36"/>
        <v>1416.6666666666667</v>
      </c>
    </row>
    <row r="419" spans="1:5" x14ac:dyDescent="0.2">
      <c r="A419" s="2">
        <v>407</v>
      </c>
      <c r="B419" s="9">
        <f t="shared" si="33"/>
        <v>33</v>
      </c>
      <c r="C419" s="4">
        <f t="shared" si="34"/>
        <v>273416.6666666721</v>
      </c>
      <c r="D419" s="5">
        <f t="shared" si="35"/>
        <v>797.46527777779374</v>
      </c>
      <c r="E419" s="6">
        <f t="shared" si="36"/>
        <v>1416.6666666666667</v>
      </c>
    </row>
    <row r="420" spans="1:5" x14ac:dyDescent="0.2">
      <c r="A420" s="2">
        <v>408</v>
      </c>
      <c r="B420" s="9">
        <f t="shared" si="33"/>
        <v>34</v>
      </c>
      <c r="C420" s="4">
        <f t="shared" si="34"/>
        <v>272000.00000000541</v>
      </c>
      <c r="D420" s="5">
        <f t="shared" si="35"/>
        <v>793.33333333334929</v>
      </c>
      <c r="E420" s="6">
        <f t="shared" si="36"/>
        <v>1416.6666666666667</v>
      </c>
    </row>
    <row r="421" spans="1:5" x14ac:dyDescent="0.2">
      <c r="A421" s="2">
        <v>409</v>
      </c>
      <c r="B421" s="9">
        <f t="shared" si="33"/>
        <v>34</v>
      </c>
      <c r="C421" s="4">
        <f t="shared" si="34"/>
        <v>270583.33333333873</v>
      </c>
      <c r="D421" s="5">
        <f t="shared" si="35"/>
        <v>789.20138888890472</v>
      </c>
      <c r="E421" s="6">
        <f t="shared" si="36"/>
        <v>1416.6666666666667</v>
      </c>
    </row>
    <row r="422" spans="1:5" x14ac:dyDescent="0.2">
      <c r="A422" s="2">
        <v>410</v>
      </c>
      <c r="B422" s="9">
        <f t="shared" si="33"/>
        <v>34</v>
      </c>
      <c r="C422" s="4">
        <f t="shared" si="34"/>
        <v>269166.66666667204</v>
      </c>
      <c r="D422" s="5">
        <f t="shared" si="35"/>
        <v>785.06944444446026</v>
      </c>
      <c r="E422" s="6">
        <f t="shared" si="36"/>
        <v>1416.6666666666667</v>
      </c>
    </row>
    <row r="423" spans="1:5" x14ac:dyDescent="0.2">
      <c r="A423" s="2">
        <v>411</v>
      </c>
      <c r="B423" s="9">
        <f t="shared" si="33"/>
        <v>34</v>
      </c>
      <c r="C423" s="4">
        <f t="shared" si="34"/>
        <v>267750.00000000536</v>
      </c>
      <c r="D423" s="5">
        <f t="shared" si="35"/>
        <v>780.9375000000158</v>
      </c>
      <c r="E423" s="6">
        <f t="shared" si="36"/>
        <v>1416.6666666666667</v>
      </c>
    </row>
    <row r="424" spans="1:5" x14ac:dyDescent="0.2">
      <c r="A424" s="2">
        <v>412</v>
      </c>
      <c r="B424" s="9">
        <f t="shared" si="33"/>
        <v>34</v>
      </c>
      <c r="C424" s="4">
        <f t="shared" si="34"/>
        <v>266333.33333333867</v>
      </c>
      <c r="D424" s="5">
        <f t="shared" si="35"/>
        <v>776.80555555557112</v>
      </c>
      <c r="E424" s="6">
        <f t="shared" si="36"/>
        <v>1416.6666666666667</v>
      </c>
    </row>
    <row r="425" spans="1:5" x14ac:dyDescent="0.2">
      <c r="A425" s="2">
        <v>413</v>
      </c>
      <c r="B425" s="9">
        <f t="shared" si="33"/>
        <v>34</v>
      </c>
      <c r="C425" s="4">
        <f t="shared" si="34"/>
        <v>264916.66666667198</v>
      </c>
      <c r="D425" s="5">
        <f t="shared" si="35"/>
        <v>772.67361111112666</v>
      </c>
      <c r="E425" s="6">
        <f t="shared" si="36"/>
        <v>1416.6666666666667</v>
      </c>
    </row>
    <row r="426" spans="1:5" x14ac:dyDescent="0.2">
      <c r="A426" s="2">
        <v>414</v>
      </c>
      <c r="B426" s="9">
        <f t="shared" si="33"/>
        <v>34</v>
      </c>
      <c r="C426" s="4">
        <f t="shared" si="34"/>
        <v>263500.0000000053</v>
      </c>
      <c r="D426" s="5">
        <f t="shared" si="35"/>
        <v>768.54166666668209</v>
      </c>
      <c r="E426" s="6">
        <f t="shared" si="36"/>
        <v>1416.6666666666667</v>
      </c>
    </row>
    <row r="427" spans="1:5" x14ac:dyDescent="0.2">
      <c r="A427" s="2">
        <v>415</v>
      </c>
      <c r="B427" s="9">
        <f t="shared" si="33"/>
        <v>34</v>
      </c>
      <c r="C427" s="4">
        <f t="shared" si="34"/>
        <v>262083.33333333864</v>
      </c>
      <c r="D427" s="5">
        <f t="shared" si="35"/>
        <v>764.40972222223775</v>
      </c>
      <c r="E427" s="6">
        <f t="shared" si="36"/>
        <v>1416.6666666666667</v>
      </c>
    </row>
    <row r="428" spans="1:5" x14ac:dyDescent="0.2">
      <c r="A428" s="2">
        <v>416</v>
      </c>
      <c r="B428" s="9">
        <f t="shared" si="33"/>
        <v>34</v>
      </c>
      <c r="C428" s="4">
        <f t="shared" si="34"/>
        <v>260666.66666667198</v>
      </c>
      <c r="D428" s="5">
        <f t="shared" si="35"/>
        <v>760.27777777779329</v>
      </c>
      <c r="E428" s="6">
        <f t="shared" si="36"/>
        <v>1416.6666666666667</v>
      </c>
    </row>
    <row r="429" spans="1:5" x14ac:dyDescent="0.2">
      <c r="A429" s="2">
        <v>417</v>
      </c>
      <c r="B429" s="9">
        <f t="shared" si="33"/>
        <v>34</v>
      </c>
      <c r="C429" s="4">
        <f t="shared" si="34"/>
        <v>259250.00000000533</v>
      </c>
      <c r="D429" s="5">
        <f t="shared" si="35"/>
        <v>756.14583333334895</v>
      </c>
      <c r="E429" s="6">
        <f t="shared" si="36"/>
        <v>1416.6666666666667</v>
      </c>
    </row>
    <row r="430" spans="1:5" x14ac:dyDescent="0.2">
      <c r="A430" s="2">
        <v>418</v>
      </c>
      <c r="B430" s="9">
        <f t="shared" si="33"/>
        <v>34</v>
      </c>
      <c r="C430" s="4">
        <f t="shared" si="34"/>
        <v>257833.33333333867</v>
      </c>
      <c r="D430" s="5">
        <f t="shared" si="35"/>
        <v>752.01388888890449</v>
      </c>
      <c r="E430" s="6">
        <f t="shared" si="36"/>
        <v>1416.6666666666667</v>
      </c>
    </row>
    <row r="431" spans="1:5" x14ac:dyDescent="0.2">
      <c r="A431" s="2">
        <v>419</v>
      </c>
      <c r="B431" s="9">
        <f t="shared" si="33"/>
        <v>34</v>
      </c>
      <c r="C431" s="4">
        <f t="shared" si="34"/>
        <v>256416.66666667201</v>
      </c>
      <c r="D431" s="5">
        <f t="shared" si="35"/>
        <v>747.88194444446015</v>
      </c>
      <c r="E431" s="6">
        <f t="shared" si="36"/>
        <v>1416.6666666666667</v>
      </c>
    </row>
    <row r="432" spans="1:5" x14ac:dyDescent="0.2">
      <c r="A432" s="2">
        <v>420</v>
      </c>
      <c r="B432" s="9">
        <f t="shared" si="33"/>
        <v>35</v>
      </c>
      <c r="C432" s="4">
        <f t="shared" si="34"/>
        <v>255000.00000000536</v>
      </c>
      <c r="D432" s="5">
        <f t="shared" si="35"/>
        <v>743.7500000000158</v>
      </c>
      <c r="E432" s="6">
        <f t="shared" si="36"/>
        <v>1416.6666666666667</v>
      </c>
    </row>
    <row r="433" spans="1:5" x14ac:dyDescent="0.2">
      <c r="A433" s="2">
        <v>421</v>
      </c>
      <c r="B433" s="9">
        <f t="shared" si="33"/>
        <v>35</v>
      </c>
      <c r="C433" s="4">
        <f t="shared" si="34"/>
        <v>253583.3333333387</v>
      </c>
      <c r="D433" s="5">
        <f t="shared" si="35"/>
        <v>739.61805555557123</v>
      </c>
      <c r="E433" s="6">
        <f t="shared" si="36"/>
        <v>1416.6666666666667</v>
      </c>
    </row>
    <row r="434" spans="1:5" x14ac:dyDescent="0.2">
      <c r="A434" s="2">
        <v>422</v>
      </c>
      <c r="B434" s="9">
        <f t="shared" si="33"/>
        <v>35</v>
      </c>
      <c r="C434" s="4">
        <f t="shared" si="34"/>
        <v>252166.66666667204</v>
      </c>
      <c r="D434" s="5">
        <f t="shared" si="35"/>
        <v>735.48611111112689</v>
      </c>
      <c r="E434" s="6">
        <f t="shared" si="36"/>
        <v>1416.6666666666667</v>
      </c>
    </row>
    <row r="435" spans="1:5" x14ac:dyDescent="0.2">
      <c r="A435" s="2">
        <v>423</v>
      </c>
      <c r="B435" s="9">
        <f t="shared" si="33"/>
        <v>35</v>
      </c>
      <c r="C435" s="4">
        <f t="shared" si="34"/>
        <v>250750.00000000538</v>
      </c>
      <c r="D435" s="5">
        <f t="shared" si="35"/>
        <v>731.35416666668243</v>
      </c>
      <c r="E435" s="6">
        <f t="shared" si="36"/>
        <v>1416.6666666666667</v>
      </c>
    </row>
    <row r="436" spans="1:5" x14ac:dyDescent="0.2">
      <c r="A436" s="2">
        <v>424</v>
      </c>
      <c r="B436" s="9">
        <f t="shared" si="33"/>
        <v>35</v>
      </c>
      <c r="C436" s="4">
        <f t="shared" si="34"/>
        <v>249333.33333333873</v>
      </c>
      <c r="D436" s="5">
        <f t="shared" si="35"/>
        <v>727.22222222223809</v>
      </c>
      <c r="E436" s="6">
        <f t="shared" si="36"/>
        <v>1416.6666666666667</v>
      </c>
    </row>
    <row r="437" spans="1:5" x14ac:dyDescent="0.2">
      <c r="A437" s="2">
        <v>425</v>
      </c>
      <c r="B437" s="9">
        <f t="shared" si="33"/>
        <v>35</v>
      </c>
      <c r="C437" s="4">
        <f t="shared" si="34"/>
        <v>247916.66666667207</v>
      </c>
      <c r="D437" s="5">
        <f t="shared" si="35"/>
        <v>723.09027777779363</v>
      </c>
      <c r="E437" s="6">
        <f t="shared" si="36"/>
        <v>1416.6666666666667</v>
      </c>
    </row>
    <row r="438" spans="1:5" x14ac:dyDescent="0.2">
      <c r="A438" s="2">
        <v>426</v>
      </c>
      <c r="B438" s="9">
        <f t="shared" si="33"/>
        <v>35</v>
      </c>
      <c r="C438" s="4">
        <f t="shared" si="34"/>
        <v>246500.00000000541</v>
      </c>
      <c r="D438" s="5">
        <f t="shared" si="35"/>
        <v>718.95833333334929</v>
      </c>
      <c r="E438" s="6">
        <f t="shared" si="36"/>
        <v>1416.6666666666667</v>
      </c>
    </row>
    <row r="439" spans="1:5" x14ac:dyDescent="0.2">
      <c r="A439" s="2">
        <v>427</v>
      </c>
      <c r="B439" s="9">
        <f t="shared" si="33"/>
        <v>35</v>
      </c>
      <c r="C439" s="4">
        <f t="shared" si="34"/>
        <v>245083.33333333876</v>
      </c>
      <c r="D439" s="5">
        <f t="shared" si="35"/>
        <v>714.82638888890472</v>
      </c>
      <c r="E439" s="6">
        <f t="shared" si="36"/>
        <v>1416.6666666666667</v>
      </c>
    </row>
    <row r="440" spans="1:5" x14ac:dyDescent="0.2">
      <c r="A440" s="2">
        <v>428</v>
      </c>
      <c r="B440" s="9">
        <f t="shared" si="33"/>
        <v>35</v>
      </c>
      <c r="C440" s="4">
        <f t="shared" si="34"/>
        <v>243666.6666666721</v>
      </c>
      <c r="D440" s="5">
        <f t="shared" si="35"/>
        <v>710.69444444446037</v>
      </c>
      <c r="E440" s="6">
        <f t="shared" si="36"/>
        <v>1416.6666666666667</v>
      </c>
    </row>
    <row r="441" spans="1:5" x14ac:dyDescent="0.2">
      <c r="A441" s="2">
        <v>429</v>
      </c>
      <c r="B441" s="9">
        <f t="shared" si="33"/>
        <v>35</v>
      </c>
      <c r="C441" s="4">
        <f t="shared" si="34"/>
        <v>242250.00000000544</v>
      </c>
      <c r="D441" s="5">
        <f t="shared" si="35"/>
        <v>706.56250000001592</v>
      </c>
      <c r="E441" s="6">
        <f t="shared" si="36"/>
        <v>1416.6666666666667</v>
      </c>
    </row>
    <row r="442" spans="1:5" x14ac:dyDescent="0.2">
      <c r="A442" s="2">
        <v>430</v>
      </c>
      <c r="B442" s="9">
        <f t="shared" si="33"/>
        <v>35</v>
      </c>
      <c r="C442" s="4">
        <f t="shared" si="34"/>
        <v>240833.33333333879</v>
      </c>
      <c r="D442" s="5">
        <f t="shared" si="35"/>
        <v>702.43055555557157</v>
      </c>
      <c r="E442" s="6">
        <f t="shared" si="36"/>
        <v>1416.6666666666667</v>
      </c>
    </row>
    <row r="443" spans="1:5" x14ac:dyDescent="0.2">
      <c r="A443" s="2">
        <v>431</v>
      </c>
      <c r="B443" s="9">
        <f t="shared" si="33"/>
        <v>35</v>
      </c>
      <c r="C443" s="4">
        <f t="shared" si="34"/>
        <v>239416.66666667213</v>
      </c>
      <c r="D443" s="5">
        <f t="shared" si="35"/>
        <v>698.29861111112712</v>
      </c>
      <c r="E443" s="6">
        <f t="shared" si="36"/>
        <v>1416.6666666666667</v>
      </c>
    </row>
    <row r="444" spans="1:5" x14ac:dyDescent="0.2">
      <c r="A444" s="2">
        <v>432</v>
      </c>
      <c r="B444" s="9">
        <f t="shared" si="33"/>
        <v>36</v>
      </c>
      <c r="C444" s="4">
        <f t="shared" si="34"/>
        <v>238000.00000000547</v>
      </c>
      <c r="D444" s="5">
        <f t="shared" si="35"/>
        <v>694.16666666668277</v>
      </c>
      <c r="E444" s="6">
        <f t="shared" si="36"/>
        <v>1416.6666666666667</v>
      </c>
    </row>
    <row r="445" spans="1:5" x14ac:dyDescent="0.2">
      <c r="A445" s="2">
        <v>433</v>
      </c>
      <c r="B445" s="9">
        <f t="shared" si="33"/>
        <v>36</v>
      </c>
      <c r="C445" s="4">
        <f t="shared" si="34"/>
        <v>236583.33333333881</v>
      </c>
      <c r="D445" s="5">
        <f t="shared" si="35"/>
        <v>690.0347222222382</v>
      </c>
      <c r="E445" s="6">
        <f t="shared" si="36"/>
        <v>1416.6666666666667</v>
      </c>
    </row>
    <row r="446" spans="1:5" x14ac:dyDescent="0.2">
      <c r="A446" s="2">
        <v>434</v>
      </c>
      <c r="B446" s="9">
        <f t="shared" si="33"/>
        <v>36</v>
      </c>
      <c r="C446" s="4">
        <f t="shared" si="34"/>
        <v>235166.66666667216</v>
      </c>
      <c r="D446" s="5">
        <f t="shared" si="35"/>
        <v>685.90277777779386</v>
      </c>
      <c r="E446" s="6">
        <f t="shared" si="36"/>
        <v>1416.6666666666667</v>
      </c>
    </row>
    <row r="447" spans="1:5" x14ac:dyDescent="0.2">
      <c r="A447" s="2">
        <v>435</v>
      </c>
      <c r="B447" s="9">
        <f t="shared" si="33"/>
        <v>36</v>
      </c>
      <c r="C447" s="4">
        <f t="shared" si="34"/>
        <v>233750.0000000055</v>
      </c>
      <c r="D447" s="5">
        <f t="shared" si="35"/>
        <v>681.77083333334951</v>
      </c>
      <c r="E447" s="6">
        <f t="shared" si="36"/>
        <v>1416.6666666666667</v>
      </c>
    </row>
    <row r="448" spans="1:5" x14ac:dyDescent="0.2">
      <c r="A448" s="2">
        <v>436</v>
      </c>
      <c r="B448" s="9">
        <f t="shared" si="33"/>
        <v>36</v>
      </c>
      <c r="C448" s="4">
        <f t="shared" si="34"/>
        <v>232333.33333333884</v>
      </c>
      <c r="D448" s="5">
        <f t="shared" si="35"/>
        <v>677.63888888890506</v>
      </c>
      <c r="E448" s="6">
        <f t="shared" si="36"/>
        <v>1416.6666666666667</v>
      </c>
    </row>
    <row r="449" spans="1:5" x14ac:dyDescent="0.2">
      <c r="A449" s="2">
        <v>437</v>
      </c>
      <c r="B449" s="9">
        <f t="shared" si="33"/>
        <v>36</v>
      </c>
      <c r="C449" s="4">
        <f t="shared" si="34"/>
        <v>230916.66666667219</v>
      </c>
      <c r="D449" s="5">
        <f t="shared" si="35"/>
        <v>673.5069444444606</v>
      </c>
      <c r="E449" s="6">
        <f t="shared" si="36"/>
        <v>1416.6666666666667</v>
      </c>
    </row>
    <row r="450" spans="1:5" x14ac:dyDescent="0.2">
      <c r="A450" s="2">
        <v>438</v>
      </c>
      <c r="B450" s="9">
        <f t="shared" si="33"/>
        <v>36</v>
      </c>
      <c r="C450" s="4">
        <f t="shared" si="34"/>
        <v>229500.00000000553</v>
      </c>
      <c r="D450" s="5">
        <f t="shared" si="35"/>
        <v>669.37500000001626</v>
      </c>
      <c r="E450" s="6">
        <f t="shared" si="36"/>
        <v>1416.6666666666667</v>
      </c>
    </row>
    <row r="451" spans="1:5" x14ac:dyDescent="0.2">
      <c r="A451" s="2">
        <v>439</v>
      </c>
      <c r="B451" s="9">
        <f t="shared" si="33"/>
        <v>36</v>
      </c>
      <c r="C451" s="4">
        <f t="shared" si="34"/>
        <v>228083.33333333887</v>
      </c>
      <c r="D451" s="5">
        <f t="shared" si="35"/>
        <v>665.2430555555718</v>
      </c>
      <c r="E451" s="6">
        <f t="shared" si="36"/>
        <v>1416.6666666666667</v>
      </c>
    </row>
    <row r="452" spans="1:5" x14ac:dyDescent="0.2">
      <c r="A452" s="2">
        <v>440</v>
      </c>
      <c r="B452" s="9">
        <f t="shared" si="33"/>
        <v>36</v>
      </c>
      <c r="C452" s="4">
        <f t="shared" si="34"/>
        <v>226666.66666667222</v>
      </c>
      <c r="D452" s="5">
        <f t="shared" si="35"/>
        <v>661.11111111112734</v>
      </c>
      <c r="E452" s="6">
        <f t="shared" si="36"/>
        <v>1416.6666666666667</v>
      </c>
    </row>
    <row r="453" spans="1:5" x14ac:dyDescent="0.2">
      <c r="A453" s="2">
        <v>441</v>
      </c>
      <c r="B453" s="9">
        <f t="shared" si="33"/>
        <v>36</v>
      </c>
      <c r="C453" s="4">
        <f t="shared" si="34"/>
        <v>225250.00000000556</v>
      </c>
      <c r="D453" s="5">
        <f t="shared" si="35"/>
        <v>656.979166666683</v>
      </c>
      <c r="E453" s="6">
        <f t="shared" si="36"/>
        <v>1416.6666666666667</v>
      </c>
    </row>
    <row r="454" spans="1:5" x14ac:dyDescent="0.2">
      <c r="A454" s="2">
        <v>442</v>
      </c>
      <c r="B454" s="9">
        <f t="shared" si="33"/>
        <v>36</v>
      </c>
      <c r="C454" s="4">
        <f t="shared" si="34"/>
        <v>223833.3333333389</v>
      </c>
      <c r="D454" s="5">
        <f t="shared" si="35"/>
        <v>652.84722222223854</v>
      </c>
      <c r="E454" s="6">
        <f t="shared" si="36"/>
        <v>1416.6666666666667</v>
      </c>
    </row>
    <row r="455" spans="1:5" x14ac:dyDescent="0.2">
      <c r="A455" s="2">
        <v>443</v>
      </c>
      <c r="B455" s="9">
        <f t="shared" si="33"/>
        <v>36</v>
      </c>
      <c r="C455" s="4">
        <f t="shared" si="34"/>
        <v>222416.66666667224</v>
      </c>
      <c r="D455" s="5">
        <f t="shared" si="35"/>
        <v>648.71527777779409</v>
      </c>
      <c r="E455" s="6">
        <f t="shared" si="36"/>
        <v>1416.6666666666667</v>
      </c>
    </row>
    <row r="456" spans="1:5" x14ac:dyDescent="0.2">
      <c r="A456" s="2">
        <v>444</v>
      </c>
      <c r="B456" s="9">
        <f t="shared" si="33"/>
        <v>37</v>
      </c>
      <c r="C456" s="4">
        <f t="shared" si="34"/>
        <v>221000.00000000559</v>
      </c>
      <c r="D456" s="5">
        <f t="shared" si="35"/>
        <v>644.58333333334974</v>
      </c>
      <c r="E456" s="6">
        <f t="shared" si="36"/>
        <v>1416.6666666666667</v>
      </c>
    </row>
    <row r="457" spans="1:5" x14ac:dyDescent="0.2">
      <c r="A457" s="2">
        <v>445</v>
      </c>
      <c r="B457" s="9">
        <f t="shared" si="33"/>
        <v>37</v>
      </c>
      <c r="C457" s="4">
        <f t="shared" si="34"/>
        <v>219583.33333333893</v>
      </c>
      <c r="D457" s="5">
        <f t="shared" si="35"/>
        <v>640.45138888890529</v>
      </c>
      <c r="E457" s="6">
        <f t="shared" si="36"/>
        <v>1416.6666666666667</v>
      </c>
    </row>
    <row r="458" spans="1:5" x14ac:dyDescent="0.2">
      <c r="A458" s="2">
        <v>446</v>
      </c>
      <c r="B458" s="9">
        <f t="shared" si="33"/>
        <v>37</v>
      </c>
      <c r="C458" s="4">
        <f t="shared" si="34"/>
        <v>218166.66666667227</v>
      </c>
      <c r="D458" s="5">
        <f t="shared" si="35"/>
        <v>636.31944444446083</v>
      </c>
      <c r="E458" s="6">
        <f t="shared" si="36"/>
        <v>1416.6666666666667</v>
      </c>
    </row>
    <row r="459" spans="1:5" x14ac:dyDescent="0.2">
      <c r="A459" s="2">
        <v>447</v>
      </c>
      <c r="B459" s="9">
        <f t="shared" si="33"/>
        <v>37</v>
      </c>
      <c r="C459" s="4">
        <f t="shared" si="34"/>
        <v>216750.00000000562</v>
      </c>
      <c r="D459" s="5">
        <f t="shared" si="35"/>
        <v>632.18750000001648</v>
      </c>
      <c r="E459" s="6">
        <f t="shared" si="36"/>
        <v>1416.6666666666667</v>
      </c>
    </row>
    <row r="460" spans="1:5" x14ac:dyDescent="0.2">
      <c r="A460" s="2">
        <v>448</v>
      </c>
      <c r="B460" s="9">
        <f t="shared" si="33"/>
        <v>37</v>
      </c>
      <c r="C460" s="4">
        <f t="shared" si="34"/>
        <v>215333.33333333896</v>
      </c>
      <c r="D460" s="5">
        <f t="shared" si="35"/>
        <v>628.05555555557203</v>
      </c>
      <c r="E460" s="6">
        <f t="shared" si="36"/>
        <v>1416.6666666666667</v>
      </c>
    </row>
    <row r="461" spans="1:5" x14ac:dyDescent="0.2">
      <c r="A461" s="2">
        <v>449</v>
      </c>
      <c r="B461" s="9">
        <f t="shared" si="33"/>
        <v>37</v>
      </c>
      <c r="C461" s="4">
        <f t="shared" si="34"/>
        <v>213916.6666666723</v>
      </c>
      <c r="D461" s="5">
        <f t="shared" si="35"/>
        <v>623.92361111112757</v>
      </c>
      <c r="E461" s="6">
        <f t="shared" si="36"/>
        <v>1416.6666666666667</v>
      </c>
    </row>
    <row r="462" spans="1:5" x14ac:dyDescent="0.2">
      <c r="A462" s="2">
        <v>450</v>
      </c>
      <c r="B462" s="9">
        <f t="shared" ref="B462:B525" si="37">ROUNDDOWN(A462/$B$4,0)</f>
        <v>37</v>
      </c>
      <c r="C462" s="4">
        <f t="shared" ref="C462:C525" si="38">C461-E461</f>
        <v>212500.00000000565</v>
      </c>
      <c r="D462" s="5">
        <f t="shared" ref="D462:D525" si="39">$B$2*C462/$B$4</f>
        <v>619.79166666668323</v>
      </c>
      <c r="E462" s="6">
        <f t="shared" ref="E462:E525" si="40">$B$7</f>
        <v>1416.6666666666667</v>
      </c>
    </row>
    <row r="463" spans="1:5" x14ac:dyDescent="0.2">
      <c r="A463" s="2">
        <v>451</v>
      </c>
      <c r="B463" s="9">
        <f t="shared" si="37"/>
        <v>37</v>
      </c>
      <c r="C463" s="4">
        <f t="shared" si="38"/>
        <v>211083.33333333899</v>
      </c>
      <c r="D463" s="5">
        <f t="shared" si="39"/>
        <v>615.65972222223877</v>
      </c>
      <c r="E463" s="6">
        <f t="shared" si="40"/>
        <v>1416.6666666666667</v>
      </c>
    </row>
    <row r="464" spans="1:5" x14ac:dyDescent="0.2">
      <c r="A464" s="2">
        <v>452</v>
      </c>
      <c r="B464" s="9">
        <f t="shared" si="37"/>
        <v>37</v>
      </c>
      <c r="C464" s="4">
        <f t="shared" si="38"/>
        <v>209666.66666667233</v>
      </c>
      <c r="D464" s="5">
        <f t="shared" si="39"/>
        <v>611.52777777779431</v>
      </c>
      <c r="E464" s="6">
        <f t="shared" si="40"/>
        <v>1416.6666666666667</v>
      </c>
    </row>
    <row r="465" spans="1:5" x14ac:dyDescent="0.2">
      <c r="A465" s="2">
        <v>453</v>
      </c>
      <c r="B465" s="9">
        <f t="shared" si="37"/>
        <v>37</v>
      </c>
      <c r="C465" s="4">
        <f t="shared" si="38"/>
        <v>208250.00000000568</v>
      </c>
      <c r="D465" s="5">
        <f t="shared" si="39"/>
        <v>607.39583333334997</v>
      </c>
      <c r="E465" s="6">
        <f t="shared" si="40"/>
        <v>1416.6666666666667</v>
      </c>
    </row>
    <row r="466" spans="1:5" x14ac:dyDescent="0.2">
      <c r="A466" s="2">
        <v>454</v>
      </c>
      <c r="B466" s="9">
        <f t="shared" si="37"/>
        <v>37</v>
      </c>
      <c r="C466" s="4">
        <f t="shared" si="38"/>
        <v>206833.33333333902</v>
      </c>
      <c r="D466" s="5">
        <f t="shared" si="39"/>
        <v>603.26388888890551</v>
      </c>
      <c r="E466" s="6">
        <f t="shared" si="40"/>
        <v>1416.6666666666667</v>
      </c>
    </row>
    <row r="467" spans="1:5" x14ac:dyDescent="0.2">
      <c r="A467" s="2">
        <v>455</v>
      </c>
      <c r="B467" s="9">
        <f t="shared" si="37"/>
        <v>37</v>
      </c>
      <c r="C467" s="4">
        <f t="shared" si="38"/>
        <v>205416.66666667236</v>
      </c>
      <c r="D467" s="5">
        <f t="shared" si="39"/>
        <v>599.13194444446106</v>
      </c>
      <c r="E467" s="6">
        <f t="shared" si="40"/>
        <v>1416.6666666666667</v>
      </c>
    </row>
    <row r="468" spans="1:5" x14ac:dyDescent="0.2">
      <c r="A468" s="2">
        <v>456</v>
      </c>
      <c r="B468" s="9">
        <f t="shared" si="37"/>
        <v>38</v>
      </c>
      <c r="C468" s="4">
        <f t="shared" si="38"/>
        <v>204000.0000000057</v>
      </c>
      <c r="D468" s="5">
        <f t="shared" si="39"/>
        <v>595.00000000001671</v>
      </c>
      <c r="E468" s="6">
        <f t="shared" si="40"/>
        <v>1416.6666666666667</v>
      </c>
    </row>
    <row r="469" spans="1:5" x14ac:dyDescent="0.2">
      <c r="A469" s="2">
        <v>457</v>
      </c>
      <c r="B469" s="9">
        <f t="shared" si="37"/>
        <v>38</v>
      </c>
      <c r="C469" s="4">
        <f t="shared" si="38"/>
        <v>202583.33333333905</v>
      </c>
      <c r="D469" s="5">
        <f t="shared" si="39"/>
        <v>590.86805555557225</v>
      </c>
      <c r="E469" s="6">
        <f t="shared" si="40"/>
        <v>1416.6666666666667</v>
      </c>
    </row>
    <row r="470" spans="1:5" x14ac:dyDescent="0.2">
      <c r="A470" s="2">
        <v>458</v>
      </c>
      <c r="B470" s="9">
        <f t="shared" si="37"/>
        <v>38</v>
      </c>
      <c r="C470" s="4">
        <f t="shared" si="38"/>
        <v>201166.66666667239</v>
      </c>
      <c r="D470" s="5">
        <f t="shared" si="39"/>
        <v>586.7361111111278</v>
      </c>
      <c r="E470" s="6">
        <f t="shared" si="40"/>
        <v>1416.6666666666667</v>
      </c>
    </row>
    <row r="471" spans="1:5" x14ac:dyDescent="0.2">
      <c r="A471" s="2">
        <v>459</v>
      </c>
      <c r="B471" s="9">
        <f t="shared" si="37"/>
        <v>38</v>
      </c>
      <c r="C471" s="4">
        <f t="shared" si="38"/>
        <v>199750.00000000573</v>
      </c>
      <c r="D471" s="5">
        <f t="shared" si="39"/>
        <v>582.60416666668345</v>
      </c>
      <c r="E471" s="6">
        <f t="shared" si="40"/>
        <v>1416.6666666666667</v>
      </c>
    </row>
    <row r="472" spans="1:5" x14ac:dyDescent="0.2">
      <c r="A472" s="2">
        <v>460</v>
      </c>
      <c r="B472" s="9">
        <f t="shared" si="37"/>
        <v>38</v>
      </c>
      <c r="C472" s="4">
        <f t="shared" si="38"/>
        <v>198333.33333333908</v>
      </c>
      <c r="D472" s="5">
        <f t="shared" si="39"/>
        <v>578.472222222239</v>
      </c>
      <c r="E472" s="6">
        <f t="shared" si="40"/>
        <v>1416.6666666666667</v>
      </c>
    </row>
    <row r="473" spans="1:5" x14ac:dyDescent="0.2">
      <c r="A473" s="2">
        <v>461</v>
      </c>
      <c r="B473" s="9">
        <f t="shared" si="37"/>
        <v>38</v>
      </c>
      <c r="C473" s="4">
        <f t="shared" si="38"/>
        <v>196916.66666667242</v>
      </c>
      <c r="D473" s="5">
        <f t="shared" si="39"/>
        <v>574.34027777779454</v>
      </c>
      <c r="E473" s="6">
        <f t="shared" si="40"/>
        <v>1416.6666666666667</v>
      </c>
    </row>
    <row r="474" spans="1:5" x14ac:dyDescent="0.2">
      <c r="A474" s="2">
        <v>462</v>
      </c>
      <c r="B474" s="9">
        <f t="shared" si="37"/>
        <v>38</v>
      </c>
      <c r="C474" s="4">
        <f t="shared" si="38"/>
        <v>195500.00000000576</v>
      </c>
      <c r="D474" s="5">
        <f t="shared" si="39"/>
        <v>570.2083333333502</v>
      </c>
      <c r="E474" s="6">
        <f t="shared" si="40"/>
        <v>1416.6666666666667</v>
      </c>
    </row>
    <row r="475" spans="1:5" x14ac:dyDescent="0.2">
      <c r="A475" s="2">
        <v>463</v>
      </c>
      <c r="B475" s="9">
        <f t="shared" si="37"/>
        <v>38</v>
      </c>
      <c r="C475" s="4">
        <f t="shared" si="38"/>
        <v>194083.33333333911</v>
      </c>
      <c r="D475" s="5">
        <f t="shared" si="39"/>
        <v>566.07638888890585</v>
      </c>
      <c r="E475" s="6">
        <f t="shared" si="40"/>
        <v>1416.6666666666667</v>
      </c>
    </row>
    <row r="476" spans="1:5" x14ac:dyDescent="0.2">
      <c r="A476" s="2">
        <v>464</v>
      </c>
      <c r="B476" s="9">
        <f t="shared" si="37"/>
        <v>38</v>
      </c>
      <c r="C476" s="4">
        <f t="shared" si="38"/>
        <v>192666.66666667245</v>
      </c>
      <c r="D476" s="5">
        <f t="shared" si="39"/>
        <v>561.9444444444614</v>
      </c>
      <c r="E476" s="6">
        <f t="shared" si="40"/>
        <v>1416.6666666666667</v>
      </c>
    </row>
    <row r="477" spans="1:5" x14ac:dyDescent="0.2">
      <c r="A477" s="2">
        <v>465</v>
      </c>
      <c r="B477" s="9">
        <f t="shared" si="37"/>
        <v>38</v>
      </c>
      <c r="C477" s="4">
        <f t="shared" si="38"/>
        <v>191250.00000000579</v>
      </c>
      <c r="D477" s="5">
        <f t="shared" si="39"/>
        <v>557.81250000001694</v>
      </c>
      <c r="E477" s="6">
        <f t="shared" si="40"/>
        <v>1416.6666666666667</v>
      </c>
    </row>
    <row r="478" spans="1:5" x14ac:dyDescent="0.2">
      <c r="A478" s="2">
        <v>466</v>
      </c>
      <c r="B478" s="9">
        <f t="shared" si="37"/>
        <v>38</v>
      </c>
      <c r="C478" s="4">
        <f t="shared" si="38"/>
        <v>189833.33333333913</v>
      </c>
      <c r="D478" s="5">
        <f t="shared" si="39"/>
        <v>553.6805555555726</v>
      </c>
      <c r="E478" s="6">
        <f t="shared" si="40"/>
        <v>1416.6666666666667</v>
      </c>
    </row>
    <row r="479" spans="1:5" x14ac:dyDescent="0.2">
      <c r="A479" s="2">
        <v>467</v>
      </c>
      <c r="B479" s="9">
        <f t="shared" si="37"/>
        <v>38</v>
      </c>
      <c r="C479" s="4">
        <f t="shared" si="38"/>
        <v>188416.66666667248</v>
      </c>
      <c r="D479" s="5">
        <f t="shared" si="39"/>
        <v>549.54861111112814</v>
      </c>
      <c r="E479" s="6">
        <f t="shared" si="40"/>
        <v>1416.6666666666667</v>
      </c>
    </row>
    <row r="480" spans="1:5" x14ac:dyDescent="0.2">
      <c r="A480" s="2">
        <v>468</v>
      </c>
      <c r="B480" s="9">
        <f t="shared" si="37"/>
        <v>39</v>
      </c>
      <c r="C480" s="4">
        <f t="shared" si="38"/>
        <v>187000.00000000582</v>
      </c>
      <c r="D480" s="5">
        <f t="shared" si="39"/>
        <v>545.41666666668368</v>
      </c>
      <c r="E480" s="6">
        <f t="shared" si="40"/>
        <v>1416.6666666666667</v>
      </c>
    </row>
    <row r="481" spans="1:5" x14ac:dyDescent="0.2">
      <c r="A481" s="2">
        <v>469</v>
      </c>
      <c r="B481" s="9">
        <f t="shared" si="37"/>
        <v>39</v>
      </c>
      <c r="C481" s="4">
        <f t="shared" si="38"/>
        <v>185583.33333333916</v>
      </c>
      <c r="D481" s="5">
        <f t="shared" si="39"/>
        <v>541.28472222223934</v>
      </c>
      <c r="E481" s="6">
        <f t="shared" si="40"/>
        <v>1416.6666666666667</v>
      </c>
    </row>
    <row r="482" spans="1:5" x14ac:dyDescent="0.2">
      <c r="A482" s="2">
        <v>470</v>
      </c>
      <c r="B482" s="9">
        <f t="shared" si="37"/>
        <v>39</v>
      </c>
      <c r="C482" s="4">
        <f t="shared" si="38"/>
        <v>184166.66666667251</v>
      </c>
      <c r="D482" s="5">
        <f t="shared" si="39"/>
        <v>537.15277777779488</v>
      </c>
      <c r="E482" s="6">
        <f t="shared" si="40"/>
        <v>1416.6666666666667</v>
      </c>
    </row>
    <row r="483" spans="1:5" x14ac:dyDescent="0.2">
      <c r="A483" s="2">
        <v>471</v>
      </c>
      <c r="B483" s="9">
        <f t="shared" si="37"/>
        <v>39</v>
      </c>
      <c r="C483" s="4">
        <f t="shared" si="38"/>
        <v>182750.00000000585</v>
      </c>
      <c r="D483" s="5">
        <f t="shared" si="39"/>
        <v>533.02083333335042</v>
      </c>
      <c r="E483" s="6">
        <f t="shared" si="40"/>
        <v>1416.6666666666667</v>
      </c>
    </row>
    <row r="484" spans="1:5" x14ac:dyDescent="0.2">
      <c r="A484" s="2">
        <v>472</v>
      </c>
      <c r="B484" s="9">
        <f t="shared" si="37"/>
        <v>39</v>
      </c>
      <c r="C484" s="4">
        <f t="shared" si="38"/>
        <v>181333.33333333919</v>
      </c>
      <c r="D484" s="5">
        <f t="shared" si="39"/>
        <v>528.88888888890608</v>
      </c>
      <c r="E484" s="6">
        <f t="shared" si="40"/>
        <v>1416.6666666666667</v>
      </c>
    </row>
    <row r="485" spans="1:5" x14ac:dyDescent="0.2">
      <c r="A485" s="2">
        <v>473</v>
      </c>
      <c r="B485" s="9">
        <f t="shared" si="37"/>
        <v>39</v>
      </c>
      <c r="C485" s="4">
        <f t="shared" si="38"/>
        <v>179916.66666667254</v>
      </c>
      <c r="D485" s="5">
        <f t="shared" si="39"/>
        <v>524.75694444446162</v>
      </c>
      <c r="E485" s="6">
        <f t="shared" si="40"/>
        <v>1416.6666666666667</v>
      </c>
    </row>
    <row r="486" spans="1:5" x14ac:dyDescent="0.2">
      <c r="A486" s="2">
        <v>474</v>
      </c>
      <c r="B486" s="9">
        <f t="shared" si="37"/>
        <v>39</v>
      </c>
      <c r="C486" s="4">
        <f t="shared" si="38"/>
        <v>178500.00000000588</v>
      </c>
      <c r="D486" s="5">
        <f t="shared" si="39"/>
        <v>520.62500000001717</v>
      </c>
      <c r="E486" s="6">
        <f t="shared" si="40"/>
        <v>1416.6666666666667</v>
      </c>
    </row>
    <row r="487" spans="1:5" x14ac:dyDescent="0.2">
      <c r="A487" s="2">
        <v>475</v>
      </c>
      <c r="B487" s="9">
        <f t="shared" si="37"/>
        <v>39</v>
      </c>
      <c r="C487" s="4">
        <f t="shared" si="38"/>
        <v>177083.33333333922</v>
      </c>
      <c r="D487" s="5">
        <f t="shared" si="39"/>
        <v>516.49305555557282</v>
      </c>
      <c r="E487" s="6">
        <f t="shared" si="40"/>
        <v>1416.6666666666667</v>
      </c>
    </row>
    <row r="488" spans="1:5" x14ac:dyDescent="0.2">
      <c r="A488" s="2">
        <v>476</v>
      </c>
      <c r="B488" s="9">
        <f t="shared" si="37"/>
        <v>39</v>
      </c>
      <c r="C488" s="4">
        <f t="shared" si="38"/>
        <v>175666.66666667257</v>
      </c>
      <c r="D488" s="5">
        <f t="shared" si="39"/>
        <v>512.36111111112837</v>
      </c>
      <c r="E488" s="6">
        <f t="shared" si="40"/>
        <v>1416.6666666666667</v>
      </c>
    </row>
    <row r="489" spans="1:5" x14ac:dyDescent="0.2">
      <c r="A489" s="2">
        <v>477</v>
      </c>
      <c r="B489" s="9">
        <f t="shared" si="37"/>
        <v>39</v>
      </c>
      <c r="C489" s="4">
        <f t="shared" si="38"/>
        <v>174250.00000000591</v>
      </c>
      <c r="D489" s="5">
        <f t="shared" si="39"/>
        <v>508.22916666668397</v>
      </c>
      <c r="E489" s="6">
        <f t="shared" si="40"/>
        <v>1416.6666666666667</v>
      </c>
    </row>
    <row r="490" spans="1:5" x14ac:dyDescent="0.2">
      <c r="A490" s="2">
        <v>478</v>
      </c>
      <c r="B490" s="9">
        <f t="shared" si="37"/>
        <v>39</v>
      </c>
      <c r="C490" s="4">
        <f t="shared" si="38"/>
        <v>172833.33333333925</v>
      </c>
      <c r="D490" s="5">
        <f t="shared" si="39"/>
        <v>504.09722222223951</v>
      </c>
      <c r="E490" s="6">
        <f t="shared" si="40"/>
        <v>1416.6666666666667</v>
      </c>
    </row>
    <row r="491" spans="1:5" x14ac:dyDescent="0.2">
      <c r="A491" s="2">
        <v>479</v>
      </c>
      <c r="B491" s="9">
        <f t="shared" si="37"/>
        <v>39</v>
      </c>
      <c r="C491" s="4">
        <f t="shared" si="38"/>
        <v>171416.66666667259</v>
      </c>
      <c r="D491" s="5">
        <f t="shared" si="39"/>
        <v>499.96527777779511</v>
      </c>
      <c r="E491" s="6">
        <f t="shared" si="40"/>
        <v>1416.6666666666667</v>
      </c>
    </row>
    <row r="492" spans="1:5" x14ac:dyDescent="0.2">
      <c r="A492" s="2">
        <v>480</v>
      </c>
      <c r="B492" s="9">
        <f t="shared" si="37"/>
        <v>40</v>
      </c>
      <c r="C492" s="4">
        <f t="shared" si="38"/>
        <v>170000.00000000594</v>
      </c>
      <c r="D492" s="5">
        <f t="shared" si="39"/>
        <v>495.83333333335071</v>
      </c>
      <c r="E492" s="6">
        <f t="shared" si="40"/>
        <v>1416.6666666666667</v>
      </c>
    </row>
    <row r="493" spans="1:5" x14ac:dyDescent="0.2">
      <c r="A493" s="2">
        <v>481</v>
      </c>
      <c r="B493" s="9">
        <f t="shared" si="37"/>
        <v>40</v>
      </c>
      <c r="C493" s="4">
        <f t="shared" si="38"/>
        <v>168583.33333333928</v>
      </c>
      <c r="D493" s="5">
        <f t="shared" si="39"/>
        <v>491.70138888890625</v>
      </c>
      <c r="E493" s="6">
        <f t="shared" si="40"/>
        <v>1416.6666666666667</v>
      </c>
    </row>
    <row r="494" spans="1:5" x14ac:dyDescent="0.2">
      <c r="A494" s="2">
        <v>482</v>
      </c>
      <c r="B494" s="9">
        <f t="shared" si="37"/>
        <v>40</v>
      </c>
      <c r="C494" s="4">
        <f t="shared" si="38"/>
        <v>167166.66666667262</v>
      </c>
      <c r="D494" s="5">
        <f t="shared" si="39"/>
        <v>487.56944444446185</v>
      </c>
      <c r="E494" s="6">
        <f t="shared" si="40"/>
        <v>1416.6666666666667</v>
      </c>
    </row>
    <row r="495" spans="1:5" x14ac:dyDescent="0.2">
      <c r="A495" s="2">
        <v>483</v>
      </c>
      <c r="B495" s="9">
        <f t="shared" si="37"/>
        <v>40</v>
      </c>
      <c r="C495" s="4">
        <f t="shared" si="38"/>
        <v>165750.00000000597</v>
      </c>
      <c r="D495" s="5">
        <f t="shared" si="39"/>
        <v>483.43750000001745</v>
      </c>
      <c r="E495" s="6">
        <f t="shared" si="40"/>
        <v>1416.6666666666667</v>
      </c>
    </row>
    <row r="496" spans="1:5" x14ac:dyDescent="0.2">
      <c r="A496" s="2">
        <v>484</v>
      </c>
      <c r="B496" s="9">
        <f t="shared" si="37"/>
        <v>40</v>
      </c>
      <c r="C496" s="4">
        <f t="shared" si="38"/>
        <v>164333.33333333931</v>
      </c>
      <c r="D496" s="5">
        <f t="shared" si="39"/>
        <v>479.30555555557299</v>
      </c>
      <c r="E496" s="6">
        <f t="shared" si="40"/>
        <v>1416.6666666666667</v>
      </c>
    </row>
    <row r="497" spans="1:5" x14ac:dyDescent="0.2">
      <c r="A497" s="2">
        <v>485</v>
      </c>
      <c r="B497" s="9">
        <f t="shared" si="37"/>
        <v>40</v>
      </c>
      <c r="C497" s="4">
        <f t="shared" si="38"/>
        <v>162916.66666667265</v>
      </c>
      <c r="D497" s="5">
        <f t="shared" si="39"/>
        <v>475.17361111112859</v>
      </c>
      <c r="E497" s="6">
        <f t="shared" si="40"/>
        <v>1416.6666666666667</v>
      </c>
    </row>
    <row r="498" spans="1:5" x14ac:dyDescent="0.2">
      <c r="A498" s="2">
        <v>486</v>
      </c>
      <c r="B498" s="9">
        <f t="shared" si="37"/>
        <v>40</v>
      </c>
      <c r="C498" s="4">
        <f t="shared" si="38"/>
        <v>161500.000000006</v>
      </c>
      <c r="D498" s="5">
        <f t="shared" si="39"/>
        <v>471.04166666668419</v>
      </c>
      <c r="E498" s="6">
        <f t="shared" si="40"/>
        <v>1416.6666666666667</v>
      </c>
    </row>
    <row r="499" spans="1:5" x14ac:dyDescent="0.2">
      <c r="A499" s="2">
        <v>487</v>
      </c>
      <c r="B499" s="9">
        <f t="shared" si="37"/>
        <v>40</v>
      </c>
      <c r="C499" s="4">
        <f t="shared" si="38"/>
        <v>160083.33333333934</v>
      </c>
      <c r="D499" s="5">
        <f t="shared" si="39"/>
        <v>466.90972222223974</v>
      </c>
      <c r="E499" s="6">
        <f t="shared" si="40"/>
        <v>1416.6666666666667</v>
      </c>
    </row>
    <row r="500" spans="1:5" x14ac:dyDescent="0.2">
      <c r="A500" s="2">
        <v>488</v>
      </c>
      <c r="B500" s="9">
        <f t="shared" si="37"/>
        <v>40</v>
      </c>
      <c r="C500" s="4">
        <f t="shared" si="38"/>
        <v>158666.66666667268</v>
      </c>
      <c r="D500" s="5">
        <f t="shared" si="39"/>
        <v>462.77777777779534</v>
      </c>
      <c r="E500" s="6">
        <f t="shared" si="40"/>
        <v>1416.6666666666667</v>
      </c>
    </row>
    <row r="501" spans="1:5" x14ac:dyDescent="0.2">
      <c r="A501" s="2">
        <v>489</v>
      </c>
      <c r="B501" s="9">
        <f t="shared" si="37"/>
        <v>40</v>
      </c>
      <c r="C501" s="4">
        <f t="shared" si="38"/>
        <v>157250.00000000602</v>
      </c>
      <c r="D501" s="5">
        <f t="shared" si="39"/>
        <v>458.64583333335094</v>
      </c>
      <c r="E501" s="6">
        <f t="shared" si="40"/>
        <v>1416.6666666666667</v>
      </c>
    </row>
    <row r="502" spans="1:5" x14ac:dyDescent="0.2">
      <c r="A502" s="2">
        <v>490</v>
      </c>
      <c r="B502" s="9">
        <f t="shared" si="37"/>
        <v>40</v>
      </c>
      <c r="C502" s="4">
        <f t="shared" si="38"/>
        <v>155833.33333333937</v>
      </c>
      <c r="D502" s="5">
        <f t="shared" si="39"/>
        <v>454.51388888890648</v>
      </c>
      <c r="E502" s="6">
        <f t="shared" si="40"/>
        <v>1416.6666666666667</v>
      </c>
    </row>
    <row r="503" spans="1:5" x14ac:dyDescent="0.2">
      <c r="A503" s="2">
        <v>491</v>
      </c>
      <c r="B503" s="9">
        <f t="shared" si="37"/>
        <v>40</v>
      </c>
      <c r="C503" s="4">
        <f t="shared" si="38"/>
        <v>154416.66666667271</v>
      </c>
      <c r="D503" s="5">
        <f t="shared" si="39"/>
        <v>450.38194444446208</v>
      </c>
      <c r="E503" s="6">
        <f t="shared" si="40"/>
        <v>1416.6666666666667</v>
      </c>
    </row>
    <row r="504" spans="1:5" x14ac:dyDescent="0.2">
      <c r="A504" s="2">
        <v>492</v>
      </c>
      <c r="B504" s="9">
        <f t="shared" si="37"/>
        <v>41</v>
      </c>
      <c r="C504" s="4">
        <f t="shared" si="38"/>
        <v>153000.00000000605</v>
      </c>
      <c r="D504" s="5">
        <f t="shared" si="39"/>
        <v>446.25000000001774</v>
      </c>
      <c r="E504" s="6">
        <f t="shared" si="40"/>
        <v>1416.6666666666667</v>
      </c>
    </row>
    <row r="505" spans="1:5" x14ac:dyDescent="0.2">
      <c r="A505" s="2">
        <v>493</v>
      </c>
      <c r="B505" s="9">
        <f t="shared" si="37"/>
        <v>41</v>
      </c>
      <c r="C505" s="4">
        <f t="shared" si="38"/>
        <v>151583.3333333394</v>
      </c>
      <c r="D505" s="5">
        <f t="shared" si="39"/>
        <v>442.11805555557333</v>
      </c>
      <c r="E505" s="6">
        <f t="shared" si="40"/>
        <v>1416.6666666666667</v>
      </c>
    </row>
    <row r="506" spans="1:5" x14ac:dyDescent="0.2">
      <c r="A506" s="2">
        <v>494</v>
      </c>
      <c r="B506" s="9">
        <f t="shared" si="37"/>
        <v>41</v>
      </c>
      <c r="C506" s="4">
        <f t="shared" si="38"/>
        <v>150166.66666667274</v>
      </c>
      <c r="D506" s="5">
        <f t="shared" si="39"/>
        <v>437.98611111112888</v>
      </c>
      <c r="E506" s="6">
        <f t="shared" si="40"/>
        <v>1416.6666666666667</v>
      </c>
    </row>
    <row r="507" spans="1:5" x14ac:dyDescent="0.2">
      <c r="A507" s="2">
        <v>495</v>
      </c>
      <c r="B507" s="9">
        <f t="shared" si="37"/>
        <v>41</v>
      </c>
      <c r="C507" s="4">
        <f t="shared" si="38"/>
        <v>148750.00000000608</v>
      </c>
      <c r="D507" s="5">
        <f t="shared" si="39"/>
        <v>433.85416666668448</v>
      </c>
      <c r="E507" s="6">
        <f t="shared" si="40"/>
        <v>1416.6666666666667</v>
      </c>
    </row>
    <row r="508" spans="1:5" x14ac:dyDescent="0.2">
      <c r="A508" s="2">
        <v>496</v>
      </c>
      <c r="B508" s="9">
        <f t="shared" si="37"/>
        <v>41</v>
      </c>
      <c r="C508" s="4">
        <f t="shared" si="38"/>
        <v>147333.33333333943</v>
      </c>
      <c r="D508" s="5">
        <f t="shared" si="39"/>
        <v>429.72222222224008</v>
      </c>
      <c r="E508" s="6">
        <f t="shared" si="40"/>
        <v>1416.6666666666667</v>
      </c>
    </row>
    <row r="509" spans="1:5" x14ac:dyDescent="0.2">
      <c r="A509" s="2">
        <v>497</v>
      </c>
      <c r="B509" s="9">
        <f t="shared" si="37"/>
        <v>41</v>
      </c>
      <c r="C509" s="4">
        <f t="shared" si="38"/>
        <v>145916.66666667277</v>
      </c>
      <c r="D509" s="5">
        <f t="shared" si="39"/>
        <v>425.59027777779562</v>
      </c>
      <c r="E509" s="6">
        <f t="shared" si="40"/>
        <v>1416.6666666666667</v>
      </c>
    </row>
    <row r="510" spans="1:5" x14ac:dyDescent="0.2">
      <c r="A510" s="2">
        <v>498</v>
      </c>
      <c r="B510" s="9">
        <f t="shared" si="37"/>
        <v>41</v>
      </c>
      <c r="C510" s="4">
        <f t="shared" si="38"/>
        <v>144500.00000000611</v>
      </c>
      <c r="D510" s="5">
        <f t="shared" si="39"/>
        <v>421.45833333335122</v>
      </c>
      <c r="E510" s="6">
        <f t="shared" si="40"/>
        <v>1416.6666666666667</v>
      </c>
    </row>
    <row r="511" spans="1:5" x14ac:dyDescent="0.2">
      <c r="A511" s="2">
        <v>499</v>
      </c>
      <c r="B511" s="9">
        <f t="shared" si="37"/>
        <v>41</v>
      </c>
      <c r="C511" s="4">
        <f t="shared" si="38"/>
        <v>143083.33333333945</v>
      </c>
      <c r="D511" s="5">
        <f t="shared" si="39"/>
        <v>417.32638888890682</v>
      </c>
      <c r="E511" s="6">
        <f t="shared" si="40"/>
        <v>1416.6666666666667</v>
      </c>
    </row>
    <row r="512" spans="1:5" x14ac:dyDescent="0.2">
      <c r="A512" s="2">
        <v>500</v>
      </c>
      <c r="B512" s="9">
        <f t="shared" si="37"/>
        <v>41</v>
      </c>
      <c r="C512" s="4">
        <f t="shared" si="38"/>
        <v>141666.6666666728</v>
      </c>
      <c r="D512" s="5">
        <f t="shared" si="39"/>
        <v>413.19444444446236</v>
      </c>
      <c r="E512" s="6">
        <f t="shared" si="40"/>
        <v>1416.6666666666667</v>
      </c>
    </row>
    <row r="513" spans="1:5" x14ac:dyDescent="0.2">
      <c r="A513" s="2">
        <v>501</v>
      </c>
      <c r="B513" s="9">
        <f t="shared" si="37"/>
        <v>41</v>
      </c>
      <c r="C513" s="4">
        <f t="shared" si="38"/>
        <v>140250.00000000614</v>
      </c>
      <c r="D513" s="5">
        <f t="shared" si="39"/>
        <v>409.06250000001796</v>
      </c>
      <c r="E513" s="6">
        <f t="shared" si="40"/>
        <v>1416.6666666666667</v>
      </c>
    </row>
    <row r="514" spans="1:5" x14ac:dyDescent="0.2">
      <c r="A514" s="2">
        <v>502</v>
      </c>
      <c r="B514" s="9">
        <f t="shared" si="37"/>
        <v>41</v>
      </c>
      <c r="C514" s="4">
        <f t="shared" si="38"/>
        <v>138833.33333333948</v>
      </c>
      <c r="D514" s="5">
        <f t="shared" si="39"/>
        <v>404.93055555557356</v>
      </c>
      <c r="E514" s="6">
        <f t="shared" si="40"/>
        <v>1416.6666666666667</v>
      </c>
    </row>
    <row r="515" spans="1:5" x14ac:dyDescent="0.2">
      <c r="A515" s="2">
        <v>503</v>
      </c>
      <c r="B515" s="9">
        <f t="shared" si="37"/>
        <v>41</v>
      </c>
      <c r="C515" s="4">
        <f t="shared" si="38"/>
        <v>137416.66666667283</v>
      </c>
      <c r="D515" s="5">
        <f t="shared" si="39"/>
        <v>400.79861111112911</v>
      </c>
      <c r="E515" s="6">
        <f t="shared" si="40"/>
        <v>1416.6666666666667</v>
      </c>
    </row>
    <row r="516" spans="1:5" x14ac:dyDescent="0.2">
      <c r="A516" s="2">
        <v>504</v>
      </c>
      <c r="B516" s="9">
        <f t="shared" si="37"/>
        <v>42</v>
      </c>
      <c r="C516" s="4">
        <f t="shared" si="38"/>
        <v>136000.00000000617</v>
      </c>
      <c r="D516" s="5">
        <f t="shared" si="39"/>
        <v>396.6666666666847</v>
      </c>
      <c r="E516" s="6">
        <f t="shared" si="40"/>
        <v>1416.6666666666667</v>
      </c>
    </row>
    <row r="517" spans="1:5" x14ac:dyDescent="0.2">
      <c r="A517" s="2">
        <v>505</v>
      </c>
      <c r="B517" s="9">
        <f t="shared" si="37"/>
        <v>42</v>
      </c>
      <c r="C517" s="4">
        <f t="shared" si="38"/>
        <v>134583.33333333951</v>
      </c>
      <c r="D517" s="5">
        <f t="shared" si="39"/>
        <v>392.5347222222403</v>
      </c>
      <c r="E517" s="6">
        <f t="shared" si="40"/>
        <v>1416.6666666666667</v>
      </c>
    </row>
    <row r="518" spans="1:5" x14ac:dyDescent="0.2">
      <c r="A518" s="2">
        <v>506</v>
      </c>
      <c r="B518" s="9">
        <f t="shared" si="37"/>
        <v>42</v>
      </c>
      <c r="C518" s="4">
        <f t="shared" si="38"/>
        <v>133166.66666667286</v>
      </c>
      <c r="D518" s="5">
        <f t="shared" si="39"/>
        <v>388.40277777779585</v>
      </c>
      <c r="E518" s="6">
        <f t="shared" si="40"/>
        <v>1416.6666666666667</v>
      </c>
    </row>
    <row r="519" spans="1:5" x14ac:dyDescent="0.2">
      <c r="A519" s="2">
        <v>507</v>
      </c>
      <c r="B519" s="9">
        <f t="shared" si="37"/>
        <v>42</v>
      </c>
      <c r="C519" s="4">
        <f t="shared" si="38"/>
        <v>131750.0000000062</v>
      </c>
      <c r="D519" s="5">
        <f t="shared" si="39"/>
        <v>384.27083333335145</v>
      </c>
      <c r="E519" s="6">
        <f t="shared" si="40"/>
        <v>1416.6666666666667</v>
      </c>
    </row>
    <row r="520" spans="1:5" x14ac:dyDescent="0.2">
      <c r="A520" s="2">
        <v>508</v>
      </c>
      <c r="B520" s="9">
        <f t="shared" si="37"/>
        <v>42</v>
      </c>
      <c r="C520" s="4">
        <f t="shared" si="38"/>
        <v>130333.33333333953</v>
      </c>
      <c r="D520" s="5">
        <f t="shared" si="39"/>
        <v>380.13888888890705</v>
      </c>
      <c r="E520" s="6">
        <f t="shared" si="40"/>
        <v>1416.6666666666667</v>
      </c>
    </row>
    <row r="521" spans="1:5" x14ac:dyDescent="0.2">
      <c r="A521" s="2">
        <v>509</v>
      </c>
      <c r="B521" s="9">
        <f t="shared" si="37"/>
        <v>42</v>
      </c>
      <c r="C521" s="4">
        <f t="shared" si="38"/>
        <v>128916.66666667286</v>
      </c>
      <c r="D521" s="5">
        <f t="shared" si="39"/>
        <v>376.00694444446253</v>
      </c>
      <c r="E521" s="6">
        <f t="shared" si="40"/>
        <v>1416.6666666666667</v>
      </c>
    </row>
    <row r="522" spans="1:5" x14ac:dyDescent="0.2">
      <c r="A522" s="2">
        <v>510</v>
      </c>
      <c r="B522" s="9">
        <f t="shared" si="37"/>
        <v>42</v>
      </c>
      <c r="C522" s="4">
        <f t="shared" si="38"/>
        <v>127500.00000000618</v>
      </c>
      <c r="D522" s="5">
        <f t="shared" si="39"/>
        <v>371.87500000001802</v>
      </c>
      <c r="E522" s="6">
        <f t="shared" si="40"/>
        <v>1416.6666666666667</v>
      </c>
    </row>
    <row r="523" spans="1:5" x14ac:dyDescent="0.2">
      <c r="A523" s="2">
        <v>511</v>
      </c>
      <c r="B523" s="9">
        <f t="shared" si="37"/>
        <v>42</v>
      </c>
      <c r="C523" s="4">
        <f t="shared" si="38"/>
        <v>126083.33333333951</v>
      </c>
      <c r="D523" s="5">
        <f t="shared" si="39"/>
        <v>367.74305555557362</v>
      </c>
      <c r="E523" s="6">
        <f t="shared" si="40"/>
        <v>1416.6666666666667</v>
      </c>
    </row>
    <row r="524" spans="1:5" x14ac:dyDescent="0.2">
      <c r="A524" s="2">
        <v>512</v>
      </c>
      <c r="B524" s="9">
        <f t="shared" si="37"/>
        <v>42</v>
      </c>
      <c r="C524" s="4">
        <f t="shared" si="38"/>
        <v>124666.66666667284</v>
      </c>
      <c r="D524" s="5">
        <f t="shared" si="39"/>
        <v>363.61111111112911</v>
      </c>
      <c r="E524" s="6">
        <f t="shared" si="40"/>
        <v>1416.6666666666667</v>
      </c>
    </row>
    <row r="525" spans="1:5" x14ac:dyDescent="0.2">
      <c r="A525" s="2">
        <v>513</v>
      </c>
      <c r="B525" s="9">
        <f t="shared" si="37"/>
        <v>42</v>
      </c>
      <c r="C525" s="4">
        <f t="shared" si="38"/>
        <v>123250.00000000617</v>
      </c>
      <c r="D525" s="5">
        <f t="shared" si="39"/>
        <v>359.4791666666847</v>
      </c>
      <c r="E525" s="6">
        <f t="shared" si="40"/>
        <v>1416.6666666666667</v>
      </c>
    </row>
    <row r="526" spans="1:5" x14ac:dyDescent="0.2">
      <c r="A526" s="2">
        <v>514</v>
      </c>
      <c r="B526" s="9">
        <f t="shared" ref="B526:B589" si="41">ROUNDDOWN(A526/$B$4,0)</f>
        <v>42</v>
      </c>
      <c r="C526" s="4">
        <f t="shared" ref="C526:C589" si="42">C525-E525</f>
        <v>121833.3333333395</v>
      </c>
      <c r="D526" s="5">
        <f t="shared" ref="D526:D589" si="43">$B$2*C526/$B$4</f>
        <v>355.34722222224019</v>
      </c>
      <c r="E526" s="6">
        <f t="shared" ref="E526:E589" si="44">$B$7</f>
        <v>1416.6666666666667</v>
      </c>
    </row>
    <row r="527" spans="1:5" x14ac:dyDescent="0.2">
      <c r="A527" s="2">
        <v>515</v>
      </c>
      <c r="B527" s="9">
        <f t="shared" si="41"/>
        <v>42</v>
      </c>
      <c r="C527" s="4">
        <f t="shared" si="42"/>
        <v>120416.66666667283</v>
      </c>
      <c r="D527" s="5">
        <f t="shared" si="43"/>
        <v>351.21527777779579</v>
      </c>
      <c r="E527" s="6">
        <f t="shared" si="44"/>
        <v>1416.6666666666667</v>
      </c>
    </row>
    <row r="528" spans="1:5" x14ac:dyDescent="0.2">
      <c r="A528" s="2">
        <v>516</v>
      </c>
      <c r="B528" s="9">
        <f t="shared" si="41"/>
        <v>43</v>
      </c>
      <c r="C528" s="4">
        <f t="shared" si="42"/>
        <v>119000.00000000616</v>
      </c>
      <c r="D528" s="5">
        <f t="shared" si="43"/>
        <v>347.08333333335128</v>
      </c>
      <c r="E528" s="6">
        <f t="shared" si="44"/>
        <v>1416.6666666666667</v>
      </c>
    </row>
    <row r="529" spans="1:5" x14ac:dyDescent="0.2">
      <c r="A529" s="2">
        <v>517</v>
      </c>
      <c r="B529" s="9">
        <f t="shared" si="41"/>
        <v>43</v>
      </c>
      <c r="C529" s="4">
        <f t="shared" si="42"/>
        <v>117583.33333333948</v>
      </c>
      <c r="D529" s="5">
        <f t="shared" si="43"/>
        <v>342.95138888890688</v>
      </c>
      <c r="E529" s="6">
        <f t="shared" si="44"/>
        <v>1416.6666666666667</v>
      </c>
    </row>
    <row r="530" spans="1:5" x14ac:dyDescent="0.2">
      <c r="A530" s="2">
        <v>518</v>
      </c>
      <c r="B530" s="9">
        <f t="shared" si="41"/>
        <v>43</v>
      </c>
      <c r="C530" s="4">
        <f t="shared" si="42"/>
        <v>116166.66666667281</v>
      </c>
      <c r="D530" s="5">
        <f t="shared" si="43"/>
        <v>338.81944444446242</v>
      </c>
      <c r="E530" s="6">
        <f t="shared" si="44"/>
        <v>1416.6666666666667</v>
      </c>
    </row>
    <row r="531" spans="1:5" x14ac:dyDescent="0.2">
      <c r="A531" s="2">
        <v>519</v>
      </c>
      <c r="B531" s="9">
        <f t="shared" si="41"/>
        <v>43</v>
      </c>
      <c r="C531" s="4">
        <f t="shared" si="42"/>
        <v>114750.00000000614</v>
      </c>
      <c r="D531" s="5">
        <f t="shared" si="43"/>
        <v>334.68750000001791</v>
      </c>
      <c r="E531" s="6">
        <f t="shared" si="44"/>
        <v>1416.6666666666667</v>
      </c>
    </row>
    <row r="532" spans="1:5" x14ac:dyDescent="0.2">
      <c r="A532" s="2">
        <v>520</v>
      </c>
      <c r="B532" s="9">
        <f t="shared" si="41"/>
        <v>43</v>
      </c>
      <c r="C532" s="4">
        <f t="shared" si="42"/>
        <v>113333.33333333947</v>
      </c>
      <c r="D532" s="5">
        <f t="shared" si="43"/>
        <v>330.55555555557345</v>
      </c>
      <c r="E532" s="6">
        <f t="shared" si="44"/>
        <v>1416.6666666666667</v>
      </c>
    </row>
    <row r="533" spans="1:5" x14ac:dyDescent="0.2">
      <c r="A533" s="2">
        <v>521</v>
      </c>
      <c r="B533" s="9">
        <f t="shared" si="41"/>
        <v>43</v>
      </c>
      <c r="C533" s="4">
        <f t="shared" si="42"/>
        <v>111916.6666666728</v>
      </c>
      <c r="D533" s="5">
        <f t="shared" si="43"/>
        <v>326.42361111112899</v>
      </c>
      <c r="E533" s="6">
        <f t="shared" si="44"/>
        <v>1416.6666666666667</v>
      </c>
    </row>
    <row r="534" spans="1:5" x14ac:dyDescent="0.2">
      <c r="A534" s="2">
        <v>522</v>
      </c>
      <c r="B534" s="9">
        <f t="shared" si="41"/>
        <v>43</v>
      </c>
      <c r="C534" s="4">
        <f t="shared" si="42"/>
        <v>110500.00000000613</v>
      </c>
      <c r="D534" s="5">
        <f t="shared" si="43"/>
        <v>322.29166666668453</v>
      </c>
      <c r="E534" s="6">
        <f t="shared" si="44"/>
        <v>1416.6666666666667</v>
      </c>
    </row>
    <row r="535" spans="1:5" x14ac:dyDescent="0.2">
      <c r="A535" s="2">
        <v>523</v>
      </c>
      <c r="B535" s="9">
        <f t="shared" si="41"/>
        <v>43</v>
      </c>
      <c r="C535" s="4">
        <f t="shared" si="42"/>
        <v>109083.33333333945</v>
      </c>
      <c r="D535" s="5">
        <f t="shared" si="43"/>
        <v>318.15972222224008</v>
      </c>
      <c r="E535" s="6">
        <f t="shared" si="44"/>
        <v>1416.6666666666667</v>
      </c>
    </row>
    <row r="536" spans="1:5" x14ac:dyDescent="0.2">
      <c r="A536" s="2">
        <v>524</v>
      </c>
      <c r="B536" s="9">
        <f t="shared" si="41"/>
        <v>43</v>
      </c>
      <c r="C536" s="4">
        <f t="shared" si="42"/>
        <v>107666.66666667278</v>
      </c>
      <c r="D536" s="5">
        <f t="shared" si="43"/>
        <v>314.02777777779562</v>
      </c>
      <c r="E536" s="6">
        <f t="shared" si="44"/>
        <v>1416.6666666666667</v>
      </c>
    </row>
    <row r="537" spans="1:5" x14ac:dyDescent="0.2">
      <c r="A537" s="2">
        <v>525</v>
      </c>
      <c r="B537" s="9">
        <f t="shared" si="41"/>
        <v>43</v>
      </c>
      <c r="C537" s="4">
        <f t="shared" si="42"/>
        <v>106250.00000000611</v>
      </c>
      <c r="D537" s="5">
        <f t="shared" si="43"/>
        <v>309.89583333335116</v>
      </c>
      <c r="E537" s="6">
        <f t="shared" si="44"/>
        <v>1416.6666666666667</v>
      </c>
    </row>
    <row r="538" spans="1:5" x14ac:dyDescent="0.2">
      <c r="A538" s="2">
        <v>526</v>
      </c>
      <c r="B538" s="9">
        <f t="shared" si="41"/>
        <v>43</v>
      </c>
      <c r="C538" s="4">
        <f t="shared" si="42"/>
        <v>104833.33333333944</v>
      </c>
      <c r="D538" s="5">
        <f t="shared" si="43"/>
        <v>305.76388888890671</v>
      </c>
      <c r="E538" s="6">
        <f t="shared" si="44"/>
        <v>1416.6666666666667</v>
      </c>
    </row>
    <row r="539" spans="1:5" x14ac:dyDescent="0.2">
      <c r="A539" s="2">
        <v>527</v>
      </c>
      <c r="B539" s="9">
        <f t="shared" si="41"/>
        <v>43</v>
      </c>
      <c r="C539" s="4">
        <f t="shared" si="42"/>
        <v>103416.66666667277</v>
      </c>
      <c r="D539" s="5">
        <f t="shared" si="43"/>
        <v>301.63194444446225</v>
      </c>
      <c r="E539" s="6">
        <f t="shared" si="44"/>
        <v>1416.6666666666667</v>
      </c>
    </row>
    <row r="540" spans="1:5" x14ac:dyDescent="0.2">
      <c r="A540" s="2">
        <v>528</v>
      </c>
      <c r="B540" s="9">
        <f t="shared" si="41"/>
        <v>44</v>
      </c>
      <c r="C540" s="4">
        <f t="shared" si="42"/>
        <v>102000.0000000061</v>
      </c>
      <c r="D540" s="5">
        <f t="shared" si="43"/>
        <v>297.50000000001779</v>
      </c>
      <c r="E540" s="6">
        <f t="shared" si="44"/>
        <v>1416.6666666666667</v>
      </c>
    </row>
    <row r="541" spans="1:5" x14ac:dyDescent="0.2">
      <c r="A541" s="2">
        <v>529</v>
      </c>
      <c r="B541" s="9">
        <f t="shared" si="41"/>
        <v>44</v>
      </c>
      <c r="C541" s="4">
        <f t="shared" si="42"/>
        <v>100583.33333333943</v>
      </c>
      <c r="D541" s="5">
        <f t="shared" si="43"/>
        <v>293.36805555557333</v>
      </c>
      <c r="E541" s="6">
        <f t="shared" si="44"/>
        <v>1416.6666666666667</v>
      </c>
    </row>
    <row r="542" spans="1:5" x14ac:dyDescent="0.2">
      <c r="A542" s="2">
        <v>530</v>
      </c>
      <c r="B542" s="9">
        <f t="shared" si="41"/>
        <v>44</v>
      </c>
      <c r="C542" s="4">
        <f t="shared" si="42"/>
        <v>99166.666666672754</v>
      </c>
      <c r="D542" s="5">
        <f t="shared" si="43"/>
        <v>289.23611111112888</v>
      </c>
      <c r="E542" s="6">
        <f t="shared" si="44"/>
        <v>1416.6666666666667</v>
      </c>
    </row>
    <row r="543" spans="1:5" x14ac:dyDescent="0.2">
      <c r="A543" s="2">
        <v>531</v>
      </c>
      <c r="B543" s="9">
        <f t="shared" si="41"/>
        <v>44</v>
      </c>
      <c r="C543" s="4">
        <f t="shared" si="42"/>
        <v>97750.000000006083</v>
      </c>
      <c r="D543" s="5">
        <f t="shared" si="43"/>
        <v>285.10416666668442</v>
      </c>
      <c r="E543" s="6">
        <f t="shared" si="44"/>
        <v>1416.6666666666667</v>
      </c>
    </row>
    <row r="544" spans="1:5" x14ac:dyDescent="0.2">
      <c r="A544" s="2">
        <v>532</v>
      </c>
      <c r="B544" s="9">
        <f t="shared" si="41"/>
        <v>44</v>
      </c>
      <c r="C544" s="4">
        <f t="shared" si="42"/>
        <v>96333.333333339411</v>
      </c>
      <c r="D544" s="5">
        <f t="shared" si="43"/>
        <v>280.97222222223996</v>
      </c>
      <c r="E544" s="6">
        <f t="shared" si="44"/>
        <v>1416.6666666666667</v>
      </c>
    </row>
    <row r="545" spans="1:5" x14ac:dyDescent="0.2">
      <c r="A545" s="2">
        <v>533</v>
      </c>
      <c r="B545" s="9">
        <f t="shared" si="41"/>
        <v>44</v>
      </c>
      <c r="C545" s="4">
        <f t="shared" si="42"/>
        <v>94916.66666667274</v>
      </c>
      <c r="D545" s="5">
        <f t="shared" si="43"/>
        <v>276.84027777779551</v>
      </c>
      <c r="E545" s="6">
        <f t="shared" si="44"/>
        <v>1416.6666666666667</v>
      </c>
    </row>
    <row r="546" spans="1:5" x14ac:dyDescent="0.2">
      <c r="A546" s="2">
        <v>534</v>
      </c>
      <c r="B546" s="9">
        <f t="shared" si="41"/>
        <v>44</v>
      </c>
      <c r="C546" s="4">
        <f t="shared" si="42"/>
        <v>93500.000000006068</v>
      </c>
      <c r="D546" s="5">
        <f t="shared" si="43"/>
        <v>272.70833333335105</v>
      </c>
      <c r="E546" s="6">
        <f t="shared" si="44"/>
        <v>1416.6666666666667</v>
      </c>
    </row>
    <row r="547" spans="1:5" x14ac:dyDescent="0.2">
      <c r="A547" s="2">
        <v>535</v>
      </c>
      <c r="B547" s="9">
        <f t="shared" si="41"/>
        <v>44</v>
      </c>
      <c r="C547" s="4">
        <f t="shared" si="42"/>
        <v>92083.333333339397</v>
      </c>
      <c r="D547" s="5">
        <f t="shared" si="43"/>
        <v>268.57638888890659</v>
      </c>
      <c r="E547" s="6">
        <f t="shared" si="44"/>
        <v>1416.6666666666667</v>
      </c>
    </row>
    <row r="548" spans="1:5" x14ac:dyDescent="0.2">
      <c r="A548" s="2">
        <v>536</v>
      </c>
      <c r="B548" s="9">
        <f t="shared" si="41"/>
        <v>44</v>
      </c>
      <c r="C548" s="4">
        <f t="shared" si="42"/>
        <v>90666.666666672725</v>
      </c>
      <c r="D548" s="5">
        <f t="shared" si="43"/>
        <v>264.44444444446214</v>
      </c>
      <c r="E548" s="6">
        <f t="shared" si="44"/>
        <v>1416.6666666666667</v>
      </c>
    </row>
    <row r="549" spans="1:5" x14ac:dyDescent="0.2">
      <c r="A549" s="2">
        <v>537</v>
      </c>
      <c r="B549" s="9">
        <f t="shared" si="41"/>
        <v>44</v>
      </c>
      <c r="C549" s="4">
        <f t="shared" si="42"/>
        <v>89250.000000006054</v>
      </c>
      <c r="D549" s="5">
        <f t="shared" si="43"/>
        <v>260.31250000001768</v>
      </c>
      <c r="E549" s="6">
        <f t="shared" si="44"/>
        <v>1416.6666666666667</v>
      </c>
    </row>
    <row r="550" spans="1:5" x14ac:dyDescent="0.2">
      <c r="A550" s="2">
        <v>538</v>
      </c>
      <c r="B550" s="9">
        <f t="shared" si="41"/>
        <v>44</v>
      </c>
      <c r="C550" s="4">
        <f t="shared" si="42"/>
        <v>87833.333333339382</v>
      </c>
      <c r="D550" s="5">
        <f t="shared" si="43"/>
        <v>256.18055555557322</v>
      </c>
      <c r="E550" s="6">
        <f t="shared" si="44"/>
        <v>1416.6666666666667</v>
      </c>
    </row>
    <row r="551" spans="1:5" x14ac:dyDescent="0.2">
      <c r="A551" s="2">
        <v>539</v>
      </c>
      <c r="B551" s="9">
        <f t="shared" si="41"/>
        <v>44</v>
      </c>
      <c r="C551" s="4">
        <f t="shared" si="42"/>
        <v>86416.666666672711</v>
      </c>
      <c r="D551" s="5">
        <f t="shared" si="43"/>
        <v>252.04861111112874</v>
      </c>
      <c r="E551" s="6">
        <f t="shared" si="44"/>
        <v>1416.6666666666667</v>
      </c>
    </row>
    <row r="552" spans="1:5" x14ac:dyDescent="0.2">
      <c r="A552" s="2">
        <v>540</v>
      </c>
      <c r="B552" s="9">
        <f t="shared" si="41"/>
        <v>45</v>
      </c>
      <c r="C552" s="4">
        <f t="shared" si="42"/>
        <v>85000.000000006039</v>
      </c>
      <c r="D552" s="5">
        <f t="shared" si="43"/>
        <v>247.91666666668428</v>
      </c>
      <c r="E552" s="6">
        <f t="shared" si="44"/>
        <v>1416.6666666666667</v>
      </c>
    </row>
    <row r="553" spans="1:5" x14ac:dyDescent="0.2">
      <c r="A553" s="2">
        <v>541</v>
      </c>
      <c r="B553" s="9">
        <f t="shared" si="41"/>
        <v>45</v>
      </c>
      <c r="C553" s="4">
        <f t="shared" si="42"/>
        <v>83583.333333339368</v>
      </c>
      <c r="D553" s="5">
        <f t="shared" si="43"/>
        <v>243.78472222223982</v>
      </c>
      <c r="E553" s="6">
        <f t="shared" si="44"/>
        <v>1416.6666666666667</v>
      </c>
    </row>
    <row r="554" spans="1:5" x14ac:dyDescent="0.2">
      <c r="A554" s="2">
        <v>542</v>
      </c>
      <c r="B554" s="9">
        <f t="shared" si="41"/>
        <v>45</v>
      </c>
      <c r="C554" s="4">
        <f t="shared" si="42"/>
        <v>82166.666666672696</v>
      </c>
      <c r="D554" s="5">
        <f t="shared" si="43"/>
        <v>239.65277777779536</v>
      </c>
      <c r="E554" s="6">
        <f t="shared" si="44"/>
        <v>1416.6666666666667</v>
      </c>
    </row>
    <row r="555" spans="1:5" x14ac:dyDescent="0.2">
      <c r="A555" s="2">
        <v>543</v>
      </c>
      <c r="B555" s="9">
        <f t="shared" si="41"/>
        <v>45</v>
      </c>
      <c r="C555" s="4">
        <f t="shared" si="42"/>
        <v>80750.000000006024</v>
      </c>
      <c r="D555" s="5">
        <f t="shared" si="43"/>
        <v>235.52083333335091</v>
      </c>
      <c r="E555" s="6">
        <f t="shared" si="44"/>
        <v>1416.6666666666667</v>
      </c>
    </row>
    <row r="556" spans="1:5" x14ac:dyDescent="0.2">
      <c r="A556" s="2">
        <v>544</v>
      </c>
      <c r="B556" s="9">
        <f t="shared" si="41"/>
        <v>45</v>
      </c>
      <c r="C556" s="4">
        <f t="shared" si="42"/>
        <v>79333.333333339353</v>
      </c>
      <c r="D556" s="5">
        <f t="shared" si="43"/>
        <v>231.38888888890645</v>
      </c>
      <c r="E556" s="6">
        <f t="shared" si="44"/>
        <v>1416.6666666666667</v>
      </c>
    </row>
    <row r="557" spans="1:5" x14ac:dyDescent="0.2">
      <c r="A557" s="2">
        <v>545</v>
      </c>
      <c r="B557" s="9">
        <f t="shared" si="41"/>
        <v>45</v>
      </c>
      <c r="C557" s="4">
        <f t="shared" si="42"/>
        <v>77916.666666672681</v>
      </c>
      <c r="D557" s="5">
        <f t="shared" si="43"/>
        <v>227.25694444446199</v>
      </c>
      <c r="E557" s="6">
        <f t="shared" si="44"/>
        <v>1416.6666666666667</v>
      </c>
    </row>
    <row r="558" spans="1:5" x14ac:dyDescent="0.2">
      <c r="A558" s="2">
        <v>546</v>
      </c>
      <c r="B558" s="9">
        <f t="shared" si="41"/>
        <v>45</v>
      </c>
      <c r="C558" s="4">
        <f t="shared" si="42"/>
        <v>76500.00000000601</v>
      </c>
      <c r="D558" s="5">
        <f t="shared" si="43"/>
        <v>223.12500000001754</v>
      </c>
      <c r="E558" s="6">
        <f t="shared" si="44"/>
        <v>1416.6666666666667</v>
      </c>
    </row>
    <row r="559" spans="1:5" x14ac:dyDescent="0.2">
      <c r="A559" s="2">
        <v>547</v>
      </c>
      <c r="B559" s="9">
        <f t="shared" si="41"/>
        <v>45</v>
      </c>
      <c r="C559" s="4">
        <f t="shared" si="42"/>
        <v>75083.333333339338</v>
      </c>
      <c r="D559" s="5">
        <f t="shared" si="43"/>
        <v>218.99305555557308</v>
      </c>
      <c r="E559" s="6">
        <f t="shared" si="44"/>
        <v>1416.6666666666667</v>
      </c>
    </row>
    <row r="560" spans="1:5" x14ac:dyDescent="0.2">
      <c r="A560" s="2">
        <v>548</v>
      </c>
      <c r="B560" s="9">
        <f t="shared" si="41"/>
        <v>45</v>
      </c>
      <c r="C560" s="4">
        <f t="shared" si="42"/>
        <v>73666.666666672667</v>
      </c>
      <c r="D560" s="5">
        <f t="shared" si="43"/>
        <v>214.86111111112862</v>
      </c>
      <c r="E560" s="6">
        <f t="shared" si="44"/>
        <v>1416.6666666666667</v>
      </c>
    </row>
    <row r="561" spans="1:5" x14ac:dyDescent="0.2">
      <c r="A561" s="2">
        <v>549</v>
      </c>
      <c r="B561" s="9">
        <f t="shared" si="41"/>
        <v>45</v>
      </c>
      <c r="C561" s="4">
        <f t="shared" si="42"/>
        <v>72250.000000005995</v>
      </c>
      <c r="D561" s="5">
        <f t="shared" si="43"/>
        <v>210.72916666668416</v>
      </c>
      <c r="E561" s="6">
        <f t="shared" si="44"/>
        <v>1416.6666666666667</v>
      </c>
    </row>
    <row r="562" spans="1:5" x14ac:dyDescent="0.2">
      <c r="A562" s="2">
        <v>550</v>
      </c>
      <c r="B562" s="9">
        <f t="shared" si="41"/>
        <v>45</v>
      </c>
      <c r="C562" s="4">
        <f t="shared" si="42"/>
        <v>70833.333333339324</v>
      </c>
      <c r="D562" s="5">
        <f t="shared" si="43"/>
        <v>206.59722222223971</v>
      </c>
      <c r="E562" s="6">
        <f t="shared" si="44"/>
        <v>1416.6666666666667</v>
      </c>
    </row>
    <row r="563" spans="1:5" x14ac:dyDescent="0.2">
      <c r="A563" s="2">
        <v>551</v>
      </c>
      <c r="B563" s="9">
        <f t="shared" si="41"/>
        <v>45</v>
      </c>
      <c r="C563" s="4">
        <f t="shared" si="42"/>
        <v>69416.666666672652</v>
      </c>
      <c r="D563" s="5">
        <f t="shared" si="43"/>
        <v>202.46527777779525</v>
      </c>
      <c r="E563" s="6">
        <f t="shared" si="44"/>
        <v>1416.6666666666667</v>
      </c>
    </row>
    <row r="564" spans="1:5" x14ac:dyDescent="0.2">
      <c r="A564" s="2">
        <v>552</v>
      </c>
      <c r="B564" s="9">
        <f t="shared" si="41"/>
        <v>46</v>
      </c>
      <c r="C564" s="4">
        <f t="shared" si="42"/>
        <v>68000.000000005981</v>
      </c>
      <c r="D564" s="5">
        <f t="shared" si="43"/>
        <v>198.33333333335079</v>
      </c>
      <c r="E564" s="6">
        <f t="shared" si="44"/>
        <v>1416.6666666666667</v>
      </c>
    </row>
    <row r="565" spans="1:5" x14ac:dyDescent="0.2">
      <c r="A565" s="2">
        <v>553</v>
      </c>
      <c r="B565" s="9">
        <f t="shared" si="41"/>
        <v>46</v>
      </c>
      <c r="C565" s="4">
        <f t="shared" si="42"/>
        <v>66583.333333339309</v>
      </c>
      <c r="D565" s="5">
        <f t="shared" si="43"/>
        <v>194.20138888890634</v>
      </c>
      <c r="E565" s="6">
        <f t="shared" si="44"/>
        <v>1416.6666666666667</v>
      </c>
    </row>
    <row r="566" spans="1:5" x14ac:dyDescent="0.2">
      <c r="A566" s="2">
        <v>554</v>
      </c>
      <c r="B566" s="9">
        <f t="shared" si="41"/>
        <v>46</v>
      </c>
      <c r="C566" s="4">
        <f t="shared" si="42"/>
        <v>65166.666666672645</v>
      </c>
      <c r="D566" s="5">
        <f t="shared" si="43"/>
        <v>190.06944444446188</v>
      </c>
      <c r="E566" s="6">
        <f t="shared" si="44"/>
        <v>1416.6666666666667</v>
      </c>
    </row>
    <row r="567" spans="1:5" x14ac:dyDescent="0.2">
      <c r="A567" s="2">
        <v>555</v>
      </c>
      <c r="B567" s="9">
        <f t="shared" si="41"/>
        <v>46</v>
      </c>
      <c r="C567" s="4">
        <f t="shared" si="42"/>
        <v>63750.000000005981</v>
      </c>
      <c r="D567" s="5">
        <f t="shared" si="43"/>
        <v>185.93750000001748</v>
      </c>
      <c r="E567" s="6">
        <f t="shared" si="44"/>
        <v>1416.6666666666667</v>
      </c>
    </row>
    <row r="568" spans="1:5" x14ac:dyDescent="0.2">
      <c r="A568" s="2">
        <v>556</v>
      </c>
      <c r="B568" s="9">
        <f t="shared" si="41"/>
        <v>46</v>
      </c>
      <c r="C568" s="4">
        <f t="shared" si="42"/>
        <v>62333.333333339317</v>
      </c>
      <c r="D568" s="5">
        <f t="shared" si="43"/>
        <v>181.80555555557302</v>
      </c>
      <c r="E568" s="6">
        <f t="shared" si="44"/>
        <v>1416.6666666666667</v>
      </c>
    </row>
    <row r="569" spans="1:5" x14ac:dyDescent="0.2">
      <c r="A569" s="2">
        <v>557</v>
      </c>
      <c r="B569" s="9">
        <f t="shared" si="41"/>
        <v>46</v>
      </c>
      <c r="C569" s="4">
        <f t="shared" si="42"/>
        <v>60916.666666672652</v>
      </c>
      <c r="D569" s="5">
        <f t="shared" si="43"/>
        <v>177.67361111112859</v>
      </c>
      <c r="E569" s="6">
        <f t="shared" si="44"/>
        <v>1416.6666666666667</v>
      </c>
    </row>
    <row r="570" spans="1:5" x14ac:dyDescent="0.2">
      <c r="A570" s="2">
        <v>558</v>
      </c>
      <c r="B570" s="9">
        <f t="shared" si="41"/>
        <v>46</v>
      </c>
      <c r="C570" s="4">
        <f t="shared" si="42"/>
        <v>59500.000000005988</v>
      </c>
      <c r="D570" s="5">
        <f t="shared" si="43"/>
        <v>173.54166666668414</v>
      </c>
      <c r="E570" s="6">
        <f t="shared" si="44"/>
        <v>1416.6666666666667</v>
      </c>
    </row>
    <row r="571" spans="1:5" x14ac:dyDescent="0.2">
      <c r="A571" s="2">
        <v>559</v>
      </c>
      <c r="B571" s="9">
        <f t="shared" si="41"/>
        <v>46</v>
      </c>
      <c r="C571" s="4">
        <f t="shared" si="42"/>
        <v>58083.333333339324</v>
      </c>
      <c r="D571" s="5">
        <f t="shared" si="43"/>
        <v>169.40972222223971</v>
      </c>
      <c r="E571" s="6">
        <f t="shared" si="44"/>
        <v>1416.6666666666667</v>
      </c>
    </row>
    <row r="572" spans="1:5" x14ac:dyDescent="0.2">
      <c r="A572" s="2">
        <v>560</v>
      </c>
      <c r="B572" s="9">
        <f t="shared" si="41"/>
        <v>46</v>
      </c>
      <c r="C572" s="4">
        <f t="shared" si="42"/>
        <v>56666.66666667266</v>
      </c>
      <c r="D572" s="5">
        <f t="shared" si="43"/>
        <v>165.27777777779528</v>
      </c>
      <c r="E572" s="6">
        <f t="shared" si="44"/>
        <v>1416.6666666666667</v>
      </c>
    </row>
    <row r="573" spans="1:5" x14ac:dyDescent="0.2">
      <c r="A573" s="2">
        <v>561</v>
      </c>
      <c r="B573" s="9">
        <f t="shared" si="41"/>
        <v>46</v>
      </c>
      <c r="C573" s="4">
        <f t="shared" si="42"/>
        <v>55250.000000005995</v>
      </c>
      <c r="D573" s="5">
        <f t="shared" si="43"/>
        <v>161.14583333335085</v>
      </c>
      <c r="E573" s="6">
        <f t="shared" si="44"/>
        <v>1416.6666666666667</v>
      </c>
    </row>
    <row r="574" spans="1:5" x14ac:dyDescent="0.2">
      <c r="A574" s="2">
        <v>562</v>
      </c>
      <c r="B574" s="9">
        <f t="shared" si="41"/>
        <v>46</v>
      </c>
      <c r="C574" s="4">
        <f t="shared" si="42"/>
        <v>53833.333333339331</v>
      </c>
      <c r="D574" s="5">
        <f t="shared" si="43"/>
        <v>157.01388888890639</v>
      </c>
      <c r="E574" s="6">
        <f t="shared" si="44"/>
        <v>1416.6666666666667</v>
      </c>
    </row>
    <row r="575" spans="1:5" x14ac:dyDescent="0.2">
      <c r="A575" s="2">
        <v>563</v>
      </c>
      <c r="B575" s="9">
        <f t="shared" si="41"/>
        <v>46</v>
      </c>
      <c r="C575" s="4">
        <f t="shared" si="42"/>
        <v>52416.666666672667</v>
      </c>
      <c r="D575" s="5">
        <f t="shared" si="43"/>
        <v>152.88194444446196</v>
      </c>
      <c r="E575" s="6">
        <f t="shared" si="44"/>
        <v>1416.6666666666667</v>
      </c>
    </row>
    <row r="576" spans="1:5" x14ac:dyDescent="0.2">
      <c r="A576" s="2">
        <v>564</v>
      </c>
      <c r="B576" s="9">
        <f t="shared" si="41"/>
        <v>47</v>
      </c>
      <c r="C576" s="4">
        <f t="shared" si="42"/>
        <v>51000.000000006003</v>
      </c>
      <c r="D576" s="5">
        <f t="shared" si="43"/>
        <v>148.75000000001754</v>
      </c>
      <c r="E576" s="6">
        <f t="shared" si="44"/>
        <v>1416.6666666666667</v>
      </c>
    </row>
    <row r="577" spans="1:5" x14ac:dyDescent="0.2">
      <c r="A577" s="2">
        <v>565</v>
      </c>
      <c r="B577" s="9">
        <f t="shared" si="41"/>
        <v>47</v>
      </c>
      <c r="C577" s="4">
        <f t="shared" si="42"/>
        <v>49583.333333339338</v>
      </c>
      <c r="D577" s="5">
        <f t="shared" si="43"/>
        <v>144.61805555557308</v>
      </c>
      <c r="E577" s="6">
        <f t="shared" si="44"/>
        <v>1416.6666666666667</v>
      </c>
    </row>
    <row r="578" spans="1:5" x14ac:dyDescent="0.2">
      <c r="A578" s="2">
        <v>566</v>
      </c>
      <c r="B578" s="9">
        <f t="shared" si="41"/>
        <v>47</v>
      </c>
      <c r="C578" s="4">
        <f t="shared" si="42"/>
        <v>48166.666666672674</v>
      </c>
      <c r="D578" s="5">
        <f t="shared" si="43"/>
        <v>140.48611111112865</v>
      </c>
      <c r="E578" s="6">
        <f t="shared" si="44"/>
        <v>1416.6666666666667</v>
      </c>
    </row>
    <row r="579" spans="1:5" x14ac:dyDescent="0.2">
      <c r="A579" s="2">
        <v>567</v>
      </c>
      <c r="B579" s="9">
        <f t="shared" si="41"/>
        <v>47</v>
      </c>
      <c r="C579" s="4">
        <f t="shared" si="42"/>
        <v>46750.00000000601</v>
      </c>
      <c r="D579" s="5">
        <f t="shared" si="43"/>
        <v>136.35416666668422</v>
      </c>
      <c r="E579" s="6">
        <f t="shared" si="44"/>
        <v>1416.6666666666667</v>
      </c>
    </row>
    <row r="580" spans="1:5" x14ac:dyDescent="0.2">
      <c r="A580" s="2">
        <v>568</v>
      </c>
      <c r="B580" s="9">
        <f t="shared" si="41"/>
        <v>47</v>
      </c>
      <c r="C580" s="4">
        <f t="shared" si="42"/>
        <v>45333.333333339346</v>
      </c>
      <c r="D580" s="5">
        <f t="shared" si="43"/>
        <v>132.22222222223976</v>
      </c>
      <c r="E580" s="6">
        <f t="shared" si="44"/>
        <v>1416.6666666666667</v>
      </c>
    </row>
    <row r="581" spans="1:5" x14ac:dyDescent="0.2">
      <c r="A581" s="2">
        <v>569</v>
      </c>
      <c r="B581" s="9">
        <f t="shared" si="41"/>
        <v>47</v>
      </c>
      <c r="C581" s="4">
        <f t="shared" si="42"/>
        <v>43916.666666672681</v>
      </c>
      <c r="D581" s="5">
        <f t="shared" si="43"/>
        <v>128.09027777779534</v>
      </c>
      <c r="E581" s="6">
        <f t="shared" si="44"/>
        <v>1416.6666666666667</v>
      </c>
    </row>
    <row r="582" spans="1:5" x14ac:dyDescent="0.2">
      <c r="A582" s="2">
        <v>570</v>
      </c>
      <c r="B582" s="9">
        <f t="shared" si="41"/>
        <v>47</v>
      </c>
      <c r="C582" s="4">
        <f t="shared" si="42"/>
        <v>42500.000000006017</v>
      </c>
      <c r="D582" s="5">
        <f t="shared" si="43"/>
        <v>123.95833333335089</v>
      </c>
      <c r="E582" s="6">
        <f t="shared" si="44"/>
        <v>1416.6666666666667</v>
      </c>
    </row>
    <row r="583" spans="1:5" x14ac:dyDescent="0.2">
      <c r="A583" s="2">
        <v>571</v>
      </c>
      <c r="B583" s="9">
        <f t="shared" si="41"/>
        <v>47</v>
      </c>
      <c r="C583" s="4">
        <f t="shared" si="42"/>
        <v>41083.333333339353</v>
      </c>
      <c r="D583" s="5">
        <f t="shared" si="43"/>
        <v>119.82638888890646</v>
      </c>
      <c r="E583" s="6">
        <f t="shared" si="44"/>
        <v>1416.6666666666667</v>
      </c>
    </row>
    <row r="584" spans="1:5" x14ac:dyDescent="0.2">
      <c r="A584" s="2">
        <v>572</v>
      </c>
      <c r="B584" s="9">
        <f t="shared" si="41"/>
        <v>47</v>
      </c>
      <c r="C584" s="4">
        <f t="shared" si="42"/>
        <v>39666.666666672689</v>
      </c>
      <c r="D584" s="5">
        <f t="shared" si="43"/>
        <v>115.69444444446202</v>
      </c>
      <c r="E584" s="6">
        <f t="shared" si="44"/>
        <v>1416.6666666666667</v>
      </c>
    </row>
    <row r="585" spans="1:5" x14ac:dyDescent="0.2">
      <c r="A585" s="2">
        <v>573</v>
      </c>
      <c r="B585" s="9">
        <f t="shared" si="41"/>
        <v>47</v>
      </c>
      <c r="C585" s="4">
        <f t="shared" si="42"/>
        <v>38250.000000006024</v>
      </c>
      <c r="D585" s="5">
        <f t="shared" si="43"/>
        <v>111.56250000001758</v>
      </c>
      <c r="E585" s="6">
        <f t="shared" si="44"/>
        <v>1416.6666666666667</v>
      </c>
    </row>
    <row r="586" spans="1:5" x14ac:dyDescent="0.2">
      <c r="A586" s="2">
        <v>574</v>
      </c>
      <c r="B586" s="9">
        <f t="shared" si="41"/>
        <v>47</v>
      </c>
      <c r="C586" s="4">
        <f t="shared" si="42"/>
        <v>36833.33333333936</v>
      </c>
      <c r="D586" s="5">
        <f t="shared" si="43"/>
        <v>107.43055555557315</v>
      </c>
      <c r="E586" s="6">
        <f t="shared" si="44"/>
        <v>1416.6666666666667</v>
      </c>
    </row>
    <row r="587" spans="1:5" x14ac:dyDescent="0.2">
      <c r="A587" s="2">
        <v>575</v>
      </c>
      <c r="B587" s="9">
        <f t="shared" si="41"/>
        <v>47</v>
      </c>
      <c r="C587" s="4">
        <f t="shared" si="42"/>
        <v>35416.666666672696</v>
      </c>
      <c r="D587" s="5">
        <f t="shared" si="43"/>
        <v>103.29861111112871</v>
      </c>
      <c r="E587" s="6">
        <f t="shared" si="44"/>
        <v>1416.6666666666667</v>
      </c>
    </row>
    <row r="588" spans="1:5" x14ac:dyDescent="0.2">
      <c r="A588" s="2">
        <v>576</v>
      </c>
      <c r="B588" s="9">
        <f t="shared" si="41"/>
        <v>48</v>
      </c>
      <c r="C588" s="4">
        <f t="shared" si="42"/>
        <v>34000.000000006032</v>
      </c>
      <c r="D588" s="5">
        <f t="shared" si="43"/>
        <v>99.166666666684264</v>
      </c>
      <c r="E588" s="6">
        <f t="shared" si="44"/>
        <v>1416.6666666666667</v>
      </c>
    </row>
    <row r="589" spans="1:5" x14ac:dyDescent="0.2">
      <c r="A589" s="2">
        <v>577</v>
      </c>
      <c r="B589" s="9">
        <f t="shared" si="41"/>
        <v>48</v>
      </c>
      <c r="C589" s="4">
        <f t="shared" si="42"/>
        <v>32583.333333339364</v>
      </c>
      <c r="D589" s="5">
        <f t="shared" si="43"/>
        <v>95.034722222239807</v>
      </c>
      <c r="E589" s="6">
        <f t="shared" si="44"/>
        <v>1416.6666666666667</v>
      </c>
    </row>
    <row r="590" spans="1:5" x14ac:dyDescent="0.2">
      <c r="A590" s="2">
        <v>578</v>
      </c>
      <c r="B590" s="9">
        <f t="shared" ref="B590:B611" si="45">ROUNDDOWN(A590/$B$4,0)</f>
        <v>48</v>
      </c>
      <c r="C590" s="4">
        <f t="shared" ref="C590:C611" si="46">C589-E589</f>
        <v>31166.666666672696</v>
      </c>
      <c r="D590" s="5">
        <f t="shared" ref="D590:D611" si="47">$B$2*C590/$B$4</f>
        <v>90.902777777795379</v>
      </c>
      <c r="E590" s="6">
        <f t="shared" ref="E590:E611" si="48">$B$7</f>
        <v>1416.6666666666667</v>
      </c>
    </row>
    <row r="591" spans="1:5" x14ac:dyDescent="0.2">
      <c r="A591" s="2">
        <v>579</v>
      </c>
      <c r="B591" s="9">
        <f t="shared" si="45"/>
        <v>48</v>
      </c>
      <c r="C591" s="4">
        <f t="shared" si="46"/>
        <v>29750.000000006028</v>
      </c>
      <c r="D591" s="5">
        <f t="shared" si="47"/>
        <v>86.770833333350922</v>
      </c>
      <c r="E591" s="6">
        <f t="shared" si="48"/>
        <v>1416.6666666666667</v>
      </c>
    </row>
    <row r="592" spans="1:5" x14ac:dyDescent="0.2">
      <c r="A592" s="2">
        <v>580</v>
      </c>
      <c r="B592" s="9">
        <f t="shared" si="45"/>
        <v>48</v>
      </c>
      <c r="C592" s="4">
        <f t="shared" si="46"/>
        <v>28333.33333333936</v>
      </c>
      <c r="D592" s="5">
        <f t="shared" si="47"/>
        <v>82.638888888906479</v>
      </c>
      <c r="E592" s="6">
        <f t="shared" si="48"/>
        <v>1416.6666666666667</v>
      </c>
    </row>
    <row r="593" spans="1:5" x14ac:dyDescent="0.2">
      <c r="A593" s="2">
        <v>581</v>
      </c>
      <c r="B593" s="9">
        <f t="shared" si="45"/>
        <v>48</v>
      </c>
      <c r="C593" s="4">
        <f t="shared" si="46"/>
        <v>26916.666666672692</v>
      </c>
      <c r="D593" s="5">
        <f t="shared" si="47"/>
        <v>78.506944444462036</v>
      </c>
      <c r="E593" s="6">
        <f t="shared" si="48"/>
        <v>1416.6666666666667</v>
      </c>
    </row>
    <row r="594" spans="1:5" x14ac:dyDescent="0.2">
      <c r="A594" s="2">
        <v>582</v>
      </c>
      <c r="B594" s="9">
        <f t="shared" si="45"/>
        <v>48</v>
      </c>
      <c r="C594" s="4">
        <f t="shared" si="46"/>
        <v>25500.000000006024</v>
      </c>
      <c r="D594" s="5">
        <f t="shared" si="47"/>
        <v>74.375000000017579</v>
      </c>
      <c r="E594" s="6">
        <f t="shared" si="48"/>
        <v>1416.6666666666667</v>
      </c>
    </row>
    <row r="595" spans="1:5" x14ac:dyDescent="0.2">
      <c r="A595" s="2">
        <v>583</v>
      </c>
      <c r="B595" s="9">
        <f t="shared" si="45"/>
        <v>48</v>
      </c>
      <c r="C595" s="4">
        <f t="shared" si="46"/>
        <v>24083.333333339357</v>
      </c>
      <c r="D595" s="5">
        <f t="shared" si="47"/>
        <v>70.243055555573122</v>
      </c>
      <c r="E595" s="6">
        <f t="shared" si="48"/>
        <v>1416.6666666666667</v>
      </c>
    </row>
    <row r="596" spans="1:5" x14ac:dyDescent="0.2">
      <c r="A596" s="2">
        <v>584</v>
      </c>
      <c r="B596" s="9">
        <f t="shared" si="45"/>
        <v>48</v>
      </c>
      <c r="C596" s="4">
        <f t="shared" si="46"/>
        <v>22666.666666672689</v>
      </c>
      <c r="D596" s="5">
        <f t="shared" si="47"/>
        <v>66.111111111128679</v>
      </c>
      <c r="E596" s="6">
        <f t="shared" si="48"/>
        <v>1416.6666666666667</v>
      </c>
    </row>
    <row r="597" spans="1:5" x14ac:dyDescent="0.2">
      <c r="A597" s="2">
        <v>585</v>
      </c>
      <c r="B597" s="9">
        <f t="shared" si="45"/>
        <v>48</v>
      </c>
      <c r="C597" s="4">
        <f t="shared" si="46"/>
        <v>21250.000000006021</v>
      </c>
      <c r="D597" s="5">
        <f t="shared" si="47"/>
        <v>61.979166666684229</v>
      </c>
      <c r="E597" s="6">
        <f t="shared" si="48"/>
        <v>1416.6666666666667</v>
      </c>
    </row>
    <row r="598" spans="1:5" x14ac:dyDescent="0.2">
      <c r="A598" s="2">
        <v>586</v>
      </c>
      <c r="B598" s="9">
        <f t="shared" si="45"/>
        <v>48</v>
      </c>
      <c r="C598" s="4">
        <f t="shared" si="46"/>
        <v>19833.333333339353</v>
      </c>
      <c r="D598" s="5">
        <f t="shared" si="47"/>
        <v>57.847222222239786</v>
      </c>
      <c r="E598" s="6">
        <f t="shared" si="48"/>
        <v>1416.6666666666667</v>
      </c>
    </row>
    <row r="599" spans="1:5" x14ac:dyDescent="0.2">
      <c r="A599" s="2">
        <v>587</v>
      </c>
      <c r="B599" s="9">
        <f t="shared" si="45"/>
        <v>48</v>
      </c>
      <c r="C599" s="4">
        <f t="shared" si="46"/>
        <v>18416.666666672685</v>
      </c>
      <c r="D599" s="5">
        <f t="shared" si="47"/>
        <v>53.715277777795336</v>
      </c>
      <c r="E599" s="6">
        <f t="shared" si="48"/>
        <v>1416.6666666666667</v>
      </c>
    </row>
    <row r="600" spans="1:5" x14ac:dyDescent="0.2">
      <c r="A600" s="2">
        <v>588</v>
      </c>
      <c r="B600" s="9">
        <f t="shared" si="45"/>
        <v>49</v>
      </c>
      <c r="C600" s="4">
        <f t="shared" si="46"/>
        <v>17000.000000006017</v>
      </c>
      <c r="D600" s="5">
        <f t="shared" si="47"/>
        <v>49.583333333350886</v>
      </c>
      <c r="E600" s="6">
        <f t="shared" si="48"/>
        <v>1416.6666666666667</v>
      </c>
    </row>
    <row r="601" spans="1:5" x14ac:dyDescent="0.2">
      <c r="A601" s="2">
        <v>589</v>
      </c>
      <c r="B601" s="9">
        <f t="shared" si="45"/>
        <v>49</v>
      </c>
      <c r="C601" s="4">
        <f t="shared" si="46"/>
        <v>15583.333333339351</v>
      </c>
      <c r="D601" s="5">
        <f t="shared" si="47"/>
        <v>45.451388888906443</v>
      </c>
      <c r="E601" s="6">
        <f t="shared" si="48"/>
        <v>1416.6666666666667</v>
      </c>
    </row>
    <row r="602" spans="1:5" x14ac:dyDescent="0.2">
      <c r="A602" s="2">
        <v>590</v>
      </c>
      <c r="B602" s="9">
        <f t="shared" si="45"/>
        <v>49</v>
      </c>
      <c r="C602" s="4">
        <f t="shared" si="46"/>
        <v>14166.666666672685</v>
      </c>
      <c r="D602" s="5">
        <f t="shared" si="47"/>
        <v>41.319444444462</v>
      </c>
      <c r="E602" s="6">
        <f t="shared" si="48"/>
        <v>1416.6666666666667</v>
      </c>
    </row>
    <row r="603" spans="1:5" x14ac:dyDescent="0.2">
      <c r="A603" s="2">
        <v>591</v>
      </c>
      <c r="B603" s="9">
        <f t="shared" si="45"/>
        <v>49</v>
      </c>
      <c r="C603" s="4">
        <f t="shared" si="46"/>
        <v>12750.000000006019</v>
      </c>
      <c r="D603" s="5">
        <f t="shared" si="47"/>
        <v>37.187500000017558</v>
      </c>
      <c r="E603" s="6">
        <f t="shared" si="48"/>
        <v>1416.6666666666667</v>
      </c>
    </row>
    <row r="604" spans="1:5" x14ac:dyDescent="0.2">
      <c r="A604" s="2">
        <v>592</v>
      </c>
      <c r="B604" s="9">
        <f t="shared" si="45"/>
        <v>49</v>
      </c>
      <c r="C604" s="4">
        <f t="shared" si="46"/>
        <v>11333.333333339353</v>
      </c>
      <c r="D604" s="5">
        <f t="shared" si="47"/>
        <v>33.055555555573115</v>
      </c>
      <c r="E604" s="6">
        <f t="shared" si="48"/>
        <v>1416.6666666666667</v>
      </c>
    </row>
    <row r="605" spans="1:5" x14ac:dyDescent="0.2">
      <c r="A605" s="2">
        <v>593</v>
      </c>
      <c r="B605" s="9">
        <f t="shared" si="45"/>
        <v>49</v>
      </c>
      <c r="C605" s="4">
        <f t="shared" si="46"/>
        <v>9916.6666666726869</v>
      </c>
      <c r="D605" s="5">
        <f t="shared" si="47"/>
        <v>28.923611111128675</v>
      </c>
      <c r="E605" s="6">
        <f t="shared" si="48"/>
        <v>1416.6666666666667</v>
      </c>
    </row>
    <row r="606" spans="1:5" x14ac:dyDescent="0.2">
      <c r="A606" s="2">
        <v>594</v>
      </c>
      <c r="B606" s="9">
        <f t="shared" si="45"/>
        <v>49</v>
      </c>
      <c r="C606" s="4">
        <f t="shared" si="46"/>
        <v>8500.0000000060209</v>
      </c>
      <c r="D606" s="5">
        <f t="shared" si="47"/>
        <v>24.791666666684232</v>
      </c>
      <c r="E606" s="6">
        <f t="shared" si="48"/>
        <v>1416.6666666666667</v>
      </c>
    </row>
    <row r="607" spans="1:5" x14ac:dyDescent="0.2">
      <c r="A607" s="2">
        <v>595</v>
      </c>
      <c r="B607" s="9">
        <f t="shared" si="45"/>
        <v>49</v>
      </c>
      <c r="C607" s="4">
        <f t="shared" si="46"/>
        <v>7083.3333333393539</v>
      </c>
      <c r="D607" s="5">
        <f t="shared" si="47"/>
        <v>20.659722222239782</v>
      </c>
      <c r="E607" s="6">
        <f t="shared" si="48"/>
        <v>1416.6666666666667</v>
      </c>
    </row>
    <row r="608" spans="1:5" x14ac:dyDescent="0.2">
      <c r="A608" s="2">
        <v>596</v>
      </c>
      <c r="B608" s="9">
        <f t="shared" si="45"/>
        <v>49</v>
      </c>
      <c r="C608" s="4">
        <f t="shared" si="46"/>
        <v>5666.6666666726869</v>
      </c>
      <c r="D608" s="5">
        <f t="shared" si="47"/>
        <v>16.52777777779534</v>
      </c>
      <c r="E608" s="6">
        <f t="shared" si="48"/>
        <v>1416.6666666666667</v>
      </c>
    </row>
    <row r="609" spans="1:5" x14ac:dyDescent="0.2">
      <c r="A609" s="2">
        <v>597</v>
      </c>
      <c r="B609" s="9">
        <f t="shared" si="45"/>
        <v>49</v>
      </c>
      <c r="C609" s="4">
        <f t="shared" si="46"/>
        <v>4250.0000000060199</v>
      </c>
      <c r="D609" s="5">
        <f t="shared" si="47"/>
        <v>12.395833333350893</v>
      </c>
      <c r="E609" s="6">
        <f t="shared" si="48"/>
        <v>1416.6666666666667</v>
      </c>
    </row>
    <row r="610" spans="1:5" x14ac:dyDescent="0.2">
      <c r="A610" s="2">
        <v>598</v>
      </c>
      <c r="B610" s="9">
        <f t="shared" si="45"/>
        <v>49</v>
      </c>
      <c r="C610" s="4">
        <f t="shared" si="46"/>
        <v>2833.333333339353</v>
      </c>
      <c r="D610" s="5">
        <f t="shared" si="47"/>
        <v>8.2638888889064468</v>
      </c>
      <c r="E610" s="6">
        <f t="shared" si="48"/>
        <v>1416.6666666666667</v>
      </c>
    </row>
    <row r="611" spans="1:5" x14ac:dyDescent="0.2">
      <c r="A611" s="2">
        <v>599</v>
      </c>
      <c r="B611" s="9">
        <f t="shared" si="45"/>
        <v>49</v>
      </c>
      <c r="C611" s="4">
        <f t="shared" si="46"/>
        <v>1416.6666666726862</v>
      </c>
      <c r="D611" s="5">
        <f t="shared" si="47"/>
        <v>4.1319444444620022</v>
      </c>
      <c r="E611" s="6">
        <f t="shared" si="48"/>
        <v>1416.6666666666667</v>
      </c>
    </row>
    <row r="612" spans="1:5" x14ac:dyDescent="0.2">
      <c r="B612" s="9"/>
      <c r="C612" s="4"/>
      <c r="D612" s="5"/>
      <c r="E612" s="6"/>
    </row>
    <row r="613" spans="1:5" x14ac:dyDescent="0.2">
      <c r="B613" s="9"/>
      <c r="C613" s="4"/>
      <c r="D613" s="5"/>
      <c r="E613" s="6"/>
    </row>
    <row r="614" spans="1:5" x14ac:dyDescent="0.2">
      <c r="B614" s="9"/>
      <c r="C614" s="4"/>
      <c r="D614" s="5"/>
      <c r="E614" s="6"/>
    </row>
    <row r="615" spans="1:5" x14ac:dyDescent="0.2">
      <c r="B615" s="9"/>
      <c r="C615" s="4"/>
      <c r="D615" s="5"/>
      <c r="E615" s="6"/>
    </row>
    <row r="616" spans="1:5" x14ac:dyDescent="0.2">
      <c r="B616" s="9"/>
      <c r="C616" s="4"/>
      <c r="D616" s="5"/>
      <c r="E616" s="6"/>
    </row>
    <row r="617" spans="1:5" x14ac:dyDescent="0.2">
      <c r="B617" s="9"/>
      <c r="C617" s="4"/>
      <c r="D617" s="5"/>
      <c r="E617" s="6"/>
    </row>
    <row r="618" spans="1:5" x14ac:dyDescent="0.2">
      <c r="B618" s="9"/>
      <c r="C618" s="4"/>
      <c r="D618" s="5"/>
      <c r="E618" s="6"/>
    </row>
    <row r="619" spans="1:5" x14ac:dyDescent="0.2">
      <c r="B619" s="9"/>
      <c r="C619" s="4"/>
      <c r="D619" s="5"/>
      <c r="E619" s="6"/>
    </row>
    <row r="620" spans="1:5" x14ac:dyDescent="0.2">
      <c r="B620" s="9"/>
      <c r="C620" s="4"/>
      <c r="D620" s="5"/>
      <c r="E620" s="6"/>
    </row>
    <row r="621" spans="1:5" x14ac:dyDescent="0.2">
      <c r="B621" s="9"/>
      <c r="C621" s="4"/>
      <c r="D621" s="5"/>
      <c r="E621" s="6"/>
    </row>
    <row r="622" spans="1:5" x14ac:dyDescent="0.2">
      <c r="B622" s="9"/>
      <c r="C622" s="4"/>
      <c r="D622" s="5"/>
      <c r="E622" s="6"/>
    </row>
    <row r="623" spans="1:5" x14ac:dyDescent="0.2">
      <c r="B623" s="9"/>
      <c r="C623" s="4"/>
      <c r="D623" s="5"/>
      <c r="E623" s="6"/>
    </row>
    <row r="624" spans="1:5" x14ac:dyDescent="0.2">
      <c r="B624" s="9"/>
      <c r="C624" s="4"/>
      <c r="D624" s="5"/>
      <c r="E624" s="6"/>
    </row>
    <row r="625" spans="2:5" x14ac:dyDescent="0.2">
      <c r="B625" s="9"/>
      <c r="C625" s="4"/>
      <c r="D625" s="5"/>
      <c r="E625" s="6"/>
    </row>
    <row r="626" spans="2:5" x14ac:dyDescent="0.2">
      <c r="B626" s="9"/>
      <c r="C626" s="4"/>
      <c r="D626" s="5"/>
      <c r="E626" s="6"/>
    </row>
    <row r="627" spans="2:5" x14ac:dyDescent="0.2">
      <c r="B627" s="9"/>
      <c r="C627" s="4"/>
      <c r="D627" s="5"/>
      <c r="E627" s="6"/>
    </row>
    <row r="628" spans="2:5" x14ac:dyDescent="0.2">
      <c r="B628" s="9"/>
      <c r="C628" s="4"/>
      <c r="D628" s="5"/>
      <c r="E628" s="6"/>
    </row>
    <row r="629" spans="2:5" x14ac:dyDescent="0.2">
      <c r="B629" s="9"/>
      <c r="C629" s="4"/>
      <c r="D629" s="5"/>
      <c r="E629" s="6"/>
    </row>
    <row r="630" spans="2:5" x14ac:dyDescent="0.2">
      <c r="B630" s="9"/>
      <c r="C630" s="4"/>
      <c r="D630" s="5"/>
      <c r="E630" s="6"/>
    </row>
    <row r="631" spans="2:5" x14ac:dyDescent="0.2">
      <c r="B631" s="9"/>
      <c r="C631" s="4"/>
      <c r="D631" s="5"/>
      <c r="E631" s="6"/>
    </row>
    <row r="632" spans="2:5" x14ac:dyDescent="0.2">
      <c r="B632" s="9"/>
      <c r="C632" s="4"/>
      <c r="D632" s="5"/>
      <c r="E632" s="6"/>
    </row>
    <row r="633" spans="2:5" x14ac:dyDescent="0.2">
      <c r="B633" s="9"/>
      <c r="C633" s="4"/>
      <c r="D633" s="5"/>
      <c r="E633" s="6"/>
    </row>
    <row r="634" spans="2:5" x14ac:dyDescent="0.2">
      <c r="B634" s="9"/>
      <c r="C634" s="4"/>
      <c r="D634" s="5"/>
      <c r="E634" s="6"/>
    </row>
    <row r="635" spans="2:5" x14ac:dyDescent="0.2">
      <c r="B635" s="9"/>
      <c r="C635" s="4"/>
      <c r="D635" s="5"/>
      <c r="E635" s="6"/>
    </row>
    <row r="636" spans="2:5" x14ac:dyDescent="0.2">
      <c r="B636" s="9"/>
      <c r="C636" s="4"/>
      <c r="D636" s="5"/>
      <c r="E636" s="6"/>
    </row>
    <row r="637" spans="2:5" x14ac:dyDescent="0.2">
      <c r="B637" s="9"/>
      <c r="C637" s="4"/>
      <c r="D637" s="5"/>
      <c r="E637" s="6"/>
    </row>
    <row r="638" spans="2:5" x14ac:dyDescent="0.2">
      <c r="B638" s="9"/>
      <c r="C638" s="4"/>
      <c r="D638" s="5"/>
      <c r="E638" s="6"/>
    </row>
    <row r="639" spans="2:5" x14ac:dyDescent="0.2">
      <c r="B639" s="9"/>
      <c r="C639" s="4"/>
      <c r="D639" s="5"/>
      <c r="E639" s="6"/>
    </row>
    <row r="640" spans="2:5" x14ac:dyDescent="0.2">
      <c r="B640" s="9"/>
      <c r="C640" s="4"/>
      <c r="D640" s="5"/>
      <c r="E640" s="6"/>
    </row>
    <row r="641" spans="2:5" x14ac:dyDescent="0.2">
      <c r="B641" s="9"/>
      <c r="C641" s="4"/>
      <c r="D641" s="5"/>
      <c r="E641" s="6"/>
    </row>
    <row r="642" spans="2:5" x14ac:dyDescent="0.2">
      <c r="B642" s="9"/>
      <c r="C642" s="4"/>
      <c r="D642" s="5"/>
      <c r="E642" s="6"/>
    </row>
    <row r="643" spans="2:5" x14ac:dyDescent="0.2">
      <c r="B643" s="9"/>
      <c r="C643" s="4"/>
      <c r="D643" s="5"/>
      <c r="E643" s="6"/>
    </row>
    <row r="644" spans="2:5" x14ac:dyDescent="0.2">
      <c r="B644" s="9"/>
      <c r="C644" s="4"/>
      <c r="D644" s="5"/>
      <c r="E644" s="6"/>
    </row>
    <row r="645" spans="2:5" x14ac:dyDescent="0.2">
      <c r="B645" s="9"/>
      <c r="C645" s="4"/>
      <c r="D645" s="5"/>
      <c r="E645" s="6"/>
    </row>
    <row r="646" spans="2:5" x14ac:dyDescent="0.2">
      <c r="B646" s="9"/>
      <c r="C646" s="4"/>
      <c r="D646" s="5"/>
      <c r="E646" s="6"/>
    </row>
    <row r="647" spans="2:5" x14ac:dyDescent="0.2">
      <c r="B647" s="9"/>
      <c r="C647" s="4"/>
      <c r="D647" s="5"/>
      <c r="E647" s="6"/>
    </row>
    <row r="648" spans="2:5" x14ac:dyDescent="0.2">
      <c r="B648" s="9"/>
      <c r="C648" s="4"/>
      <c r="D648" s="5"/>
      <c r="E648" s="6"/>
    </row>
    <row r="649" spans="2:5" x14ac:dyDescent="0.2">
      <c r="B649" s="9"/>
      <c r="C649" s="4"/>
      <c r="D649" s="5"/>
      <c r="E649" s="6"/>
    </row>
    <row r="650" spans="2:5" x14ac:dyDescent="0.2">
      <c r="B650" s="9"/>
      <c r="C650" s="4"/>
      <c r="D650" s="5"/>
      <c r="E650" s="6"/>
    </row>
    <row r="651" spans="2:5" x14ac:dyDescent="0.2">
      <c r="B651" s="9"/>
      <c r="C651" s="4"/>
      <c r="D651" s="5"/>
      <c r="E651" s="6"/>
    </row>
    <row r="652" spans="2:5" x14ac:dyDescent="0.2">
      <c r="B652" s="9"/>
      <c r="C652" s="4"/>
      <c r="D652" s="5"/>
      <c r="E652" s="6"/>
    </row>
    <row r="653" spans="2:5" x14ac:dyDescent="0.2">
      <c r="B653" s="9"/>
      <c r="C653" s="4"/>
      <c r="D653" s="5"/>
      <c r="E653" s="6"/>
    </row>
    <row r="654" spans="2:5" x14ac:dyDescent="0.2">
      <c r="B654" s="9"/>
      <c r="C654" s="4"/>
      <c r="D654" s="5"/>
      <c r="E654" s="6"/>
    </row>
    <row r="655" spans="2:5" x14ac:dyDescent="0.2">
      <c r="B655" s="9"/>
      <c r="C655" s="4"/>
      <c r="D655" s="5"/>
      <c r="E655" s="6"/>
    </row>
    <row r="656" spans="2:5" x14ac:dyDescent="0.2">
      <c r="B656" s="9"/>
      <c r="C656" s="4"/>
      <c r="D656" s="5"/>
      <c r="E656" s="6"/>
    </row>
    <row r="657" spans="2:5" x14ac:dyDescent="0.2">
      <c r="B657" s="9"/>
      <c r="C657" s="4"/>
      <c r="D657" s="5"/>
      <c r="E657" s="6"/>
    </row>
    <row r="658" spans="2:5" x14ac:dyDescent="0.2">
      <c r="B658" s="9"/>
      <c r="C658" s="4"/>
      <c r="D658" s="5"/>
      <c r="E658" s="6"/>
    </row>
    <row r="659" spans="2:5" x14ac:dyDescent="0.2">
      <c r="B659" s="9"/>
      <c r="C659" s="4"/>
      <c r="D659" s="5"/>
      <c r="E659" s="6"/>
    </row>
    <row r="660" spans="2:5" x14ac:dyDescent="0.2">
      <c r="B660" s="9"/>
      <c r="C660" s="4"/>
      <c r="D660" s="5"/>
      <c r="E660" s="6"/>
    </row>
    <row r="661" spans="2:5" x14ac:dyDescent="0.2">
      <c r="B661" s="9"/>
      <c r="C661" s="4"/>
      <c r="D661" s="5"/>
      <c r="E661" s="6"/>
    </row>
    <row r="662" spans="2:5" x14ac:dyDescent="0.2">
      <c r="B662" s="9"/>
      <c r="C662" s="4"/>
      <c r="D662" s="5"/>
      <c r="E662" s="6"/>
    </row>
    <row r="663" spans="2:5" x14ac:dyDescent="0.2">
      <c r="B663" s="9"/>
      <c r="C663" s="4"/>
      <c r="D663" s="5"/>
      <c r="E663" s="6"/>
    </row>
    <row r="664" spans="2:5" x14ac:dyDescent="0.2">
      <c r="B664" s="9"/>
      <c r="C664" s="4"/>
      <c r="D664" s="5"/>
      <c r="E664" s="6"/>
    </row>
    <row r="665" spans="2:5" x14ac:dyDescent="0.2">
      <c r="B665" s="9"/>
      <c r="C665" s="4"/>
      <c r="D665" s="5"/>
      <c r="E665" s="6"/>
    </row>
    <row r="666" spans="2:5" x14ac:dyDescent="0.2">
      <c r="B666" s="9"/>
      <c r="C666" s="4"/>
      <c r="D666" s="5"/>
      <c r="E666" s="6"/>
    </row>
    <row r="667" spans="2:5" x14ac:dyDescent="0.2">
      <c r="B667" s="9"/>
      <c r="C667" s="4"/>
      <c r="D667" s="5"/>
      <c r="E667" s="6"/>
    </row>
    <row r="668" spans="2:5" x14ac:dyDescent="0.2">
      <c r="B668" s="9"/>
      <c r="C668" s="4"/>
      <c r="D668" s="5"/>
      <c r="E668" s="6"/>
    </row>
    <row r="669" spans="2:5" x14ac:dyDescent="0.2">
      <c r="B669" s="9"/>
      <c r="C669" s="4"/>
      <c r="D669" s="5"/>
      <c r="E669" s="6"/>
    </row>
    <row r="670" spans="2:5" x14ac:dyDescent="0.2">
      <c r="B670" s="9"/>
      <c r="C670" s="4"/>
      <c r="D670" s="5"/>
      <c r="E670" s="6"/>
    </row>
    <row r="671" spans="2:5" x14ac:dyDescent="0.2">
      <c r="B671" s="9"/>
      <c r="C671" s="4"/>
      <c r="D671" s="5"/>
      <c r="E671" s="6"/>
    </row>
    <row r="672" spans="2:5" x14ac:dyDescent="0.2">
      <c r="B672" s="9"/>
      <c r="C672" s="4"/>
      <c r="D672" s="5"/>
      <c r="E672" s="6"/>
    </row>
    <row r="673" spans="2:5" x14ac:dyDescent="0.2">
      <c r="B673" s="9"/>
      <c r="C673" s="4"/>
      <c r="D673" s="5"/>
      <c r="E673" s="6"/>
    </row>
    <row r="674" spans="2:5" x14ac:dyDescent="0.2">
      <c r="B674" s="9"/>
      <c r="C674" s="4"/>
      <c r="D674" s="5"/>
      <c r="E674" s="6"/>
    </row>
    <row r="675" spans="2:5" x14ac:dyDescent="0.2">
      <c r="B675" s="9"/>
      <c r="C675" s="4"/>
      <c r="D675" s="5"/>
      <c r="E675" s="6"/>
    </row>
    <row r="676" spans="2:5" x14ac:dyDescent="0.2">
      <c r="B676" s="9"/>
      <c r="C676" s="4"/>
      <c r="D676" s="5"/>
      <c r="E676" s="6"/>
    </row>
    <row r="677" spans="2:5" x14ac:dyDescent="0.2">
      <c r="B677" s="9"/>
      <c r="C677" s="4"/>
      <c r="D677" s="5"/>
      <c r="E677" s="6"/>
    </row>
    <row r="678" spans="2:5" x14ac:dyDescent="0.2">
      <c r="B678" s="9"/>
      <c r="C678" s="4"/>
      <c r="D678" s="5"/>
      <c r="E678" s="6"/>
    </row>
    <row r="679" spans="2:5" x14ac:dyDescent="0.2">
      <c r="B679" s="9"/>
      <c r="C679" s="4"/>
      <c r="D679" s="5"/>
      <c r="E679" s="6"/>
    </row>
    <row r="680" spans="2:5" x14ac:dyDescent="0.2">
      <c r="B680" s="9"/>
      <c r="C680" s="4"/>
      <c r="D680" s="5"/>
      <c r="E680" s="6"/>
    </row>
    <row r="681" spans="2:5" x14ac:dyDescent="0.2">
      <c r="B681" s="9"/>
      <c r="C681" s="4"/>
      <c r="D681" s="5"/>
      <c r="E681" s="6"/>
    </row>
    <row r="682" spans="2:5" x14ac:dyDescent="0.2">
      <c r="B682" s="9"/>
      <c r="C682" s="4"/>
      <c r="D682" s="5"/>
      <c r="E682" s="6"/>
    </row>
    <row r="683" spans="2:5" x14ac:dyDescent="0.2">
      <c r="B683" s="9"/>
      <c r="C683" s="4"/>
      <c r="D683" s="5"/>
      <c r="E683" s="6"/>
    </row>
    <row r="684" spans="2:5" x14ac:dyDescent="0.2">
      <c r="B684" s="9"/>
      <c r="C684" s="4"/>
      <c r="D684" s="5"/>
      <c r="E684" s="6"/>
    </row>
    <row r="685" spans="2:5" x14ac:dyDescent="0.2">
      <c r="B685" s="9"/>
      <c r="C685" s="4"/>
      <c r="D685" s="5"/>
      <c r="E685" s="6"/>
    </row>
    <row r="686" spans="2:5" x14ac:dyDescent="0.2">
      <c r="B686" s="9"/>
      <c r="C686" s="4"/>
      <c r="D686" s="5"/>
      <c r="E686" s="6"/>
    </row>
    <row r="687" spans="2:5" x14ac:dyDescent="0.2">
      <c r="B687" s="9"/>
      <c r="C687" s="4"/>
      <c r="D687" s="5"/>
      <c r="E687" s="6"/>
    </row>
    <row r="688" spans="2:5" x14ac:dyDescent="0.2">
      <c r="B688" s="9"/>
      <c r="C688" s="4"/>
      <c r="D688" s="5"/>
      <c r="E688" s="6"/>
    </row>
    <row r="689" spans="2:5" x14ac:dyDescent="0.2">
      <c r="B689" s="9"/>
      <c r="C689" s="4"/>
      <c r="D689" s="5"/>
      <c r="E689" s="6"/>
    </row>
    <row r="690" spans="2:5" x14ac:dyDescent="0.2">
      <c r="B690" s="9"/>
      <c r="C690" s="4"/>
      <c r="D690" s="5"/>
      <c r="E690" s="6"/>
    </row>
    <row r="691" spans="2:5" x14ac:dyDescent="0.2">
      <c r="B691" s="9"/>
      <c r="C691" s="4"/>
      <c r="D691" s="5"/>
      <c r="E691" s="6"/>
    </row>
    <row r="692" spans="2:5" x14ac:dyDescent="0.2">
      <c r="B692" s="9"/>
      <c r="C692" s="4"/>
      <c r="D692" s="5"/>
      <c r="E692" s="6"/>
    </row>
    <row r="693" spans="2:5" x14ac:dyDescent="0.2">
      <c r="B693" s="9"/>
      <c r="C693" s="4"/>
      <c r="D693" s="5"/>
      <c r="E693" s="6"/>
    </row>
    <row r="694" spans="2:5" x14ac:dyDescent="0.2">
      <c r="B694" s="9"/>
      <c r="C694" s="4"/>
      <c r="D694" s="5"/>
      <c r="E694" s="6"/>
    </row>
    <row r="695" spans="2:5" x14ac:dyDescent="0.2">
      <c r="B695" s="9"/>
      <c r="C695" s="4"/>
      <c r="D695" s="5"/>
      <c r="E695" s="6"/>
    </row>
    <row r="696" spans="2:5" x14ac:dyDescent="0.2">
      <c r="B696" s="9"/>
      <c r="C696" s="4"/>
      <c r="D696" s="5"/>
      <c r="E696" s="6"/>
    </row>
    <row r="697" spans="2:5" x14ac:dyDescent="0.2">
      <c r="B697" s="9"/>
      <c r="C697" s="4"/>
      <c r="D697" s="5"/>
      <c r="E697" s="6"/>
    </row>
    <row r="698" spans="2:5" x14ac:dyDescent="0.2">
      <c r="B698" s="9"/>
      <c r="C698" s="4"/>
      <c r="D698" s="5"/>
      <c r="E698" s="6"/>
    </row>
    <row r="699" spans="2:5" x14ac:dyDescent="0.2">
      <c r="B699" s="9"/>
      <c r="C699" s="4"/>
      <c r="D699" s="5"/>
      <c r="E699" s="6"/>
    </row>
    <row r="700" spans="2:5" x14ac:dyDescent="0.2">
      <c r="B700" s="9"/>
      <c r="C700" s="4"/>
      <c r="D700" s="5"/>
      <c r="E700" s="6"/>
    </row>
    <row r="701" spans="2:5" x14ac:dyDescent="0.2">
      <c r="B701" s="9"/>
      <c r="C701" s="4"/>
      <c r="D701" s="5"/>
      <c r="E701" s="6"/>
    </row>
    <row r="702" spans="2:5" x14ac:dyDescent="0.2">
      <c r="B702" s="9"/>
      <c r="C702" s="4"/>
      <c r="D702" s="5"/>
      <c r="E702" s="6"/>
    </row>
    <row r="703" spans="2:5" x14ac:dyDescent="0.2">
      <c r="B703" s="9"/>
      <c r="C703" s="4"/>
      <c r="D703" s="5"/>
      <c r="E703" s="6"/>
    </row>
    <row r="704" spans="2:5" x14ac:dyDescent="0.2">
      <c r="B704" s="9"/>
      <c r="C704" s="4"/>
      <c r="D704" s="5"/>
      <c r="E704" s="6"/>
    </row>
    <row r="705" spans="2:5" x14ac:dyDescent="0.2">
      <c r="B705" s="9"/>
      <c r="C705" s="4"/>
      <c r="D705" s="5"/>
      <c r="E705" s="6"/>
    </row>
    <row r="706" spans="2:5" x14ac:dyDescent="0.2">
      <c r="B706" s="9"/>
      <c r="C706" s="4"/>
      <c r="D706" s="5"/>
      <c r="E706" s="6"/>
    </row>
    <row r="707" spans="2:5" x14ac:dyDescent="0.2">
      <c r="B707" s="9"/>
      <c r="C707" s="4"/>
      <c r="D707" s="5"/>
      <c r="E707" s="6"/>
    </row>
    <row r="708" spans="2:5" x14ac:dyDescent="0.2">
      <c r="B708" s="9"/>
      <c r="C708" s="4"/>
      <c r="D708" s="5"/>
      <c r="E708" s="6"/>
    </row>
    <row r="709" spans="2:5" x14ac:dyDescent="0.2">
      <c r="B709" s="9"/>
      <c r="C709" s="4"/>
      <c r="D709" s="5"/>
      <c r="E709" s="6"/>
    </row>
    <row r="710" spans="2:5" x14ac:dyDescent="0.2">
      <c r="B710" s="9"/>
      <c r="C710" s="4"/>
      <c r="D710" s="5"/>
      <c r="E710" s="6"/>
    </row>
    <row r="711" spans="2:5" x14ac:dyDescent="0.2">
      <c r="B711" s="9"/>
      <c r="C711" s="4"/>
      <c r="D711" s="5"/>
      <c r="E711" s="6"/>
    </row>
    <row r="712" spans="2:5" x14ac:dyDescent="0.2">
      <c r="B712" s="9"/>
      <c r="C712" s="4"/>
      <c r="D712" s="5"/>
      <c r="E712" s="6"/>
    </row>
    <row r="713" spans="2:5" x14ac:dyDescent="0.2">
      <c r="B713" s="9"/>
      <c r="C713" s="4"/>
      <c r="D713" s="5"/>
      <c r="E713" s="6"/>
    </row>
    <row r="714" spans="2:5" x14ac:dyDescent="0.2">
      <c r="B714" s="9"/>
      <c r="C714" s="4"/>
      <c r="D714" s="5"/>
      <c r="E714" s="6"/>
    </row>
    <row r="715" spans="2:5" x14ac:dyDescent="0.2">
      <c r="B715" s="9"/>
      <c r="C715" s="4"/>
      <c r="D715" s="5"/>
      <c r="E715" s="6"/>
    </row>
    <row r="716" spans="2:5" x14ac:dyDescent="0.2">
      <c r="B716" s="9"/>
      <c r="C716" s="4"/>
      <c r="D716" s="5"/>
      <c r="E716" s="6"/>
    </row>
    <row r="717" spans="2:5" x14ac:dyDescent="0.2">
      <c r="B717" s="9"/>
      <c r="C717" s="4"/>
      <c r="D717" s="5"/>
      <c r="E717" s="6"/>
    </row>
    <row r="718" spans="2:5" x14ac:dyDescent="0.2">
      <c r="B718" s="9"/>
      <c r="C718" s="4"/>
      <c r="D718" s="5"/>
      <c r="E718" s="6"/>
    </row>
    <row r="719" spans="2:5" x14ac:dyDescent="0.2">
      <c r="B719" s="9"/>
      <c r="C719" s="4"/>
      <c r="D719" s="5"/>
      <c r="E719" s="6"/>
    </row>
    <row r="720" spans="2:5" x14ac:dyDescent="0.2">
      <c r="B720" s="9"/>
      <c r="C720" s="4"/>
      <c r="D720" s="5"/>
      <c r="E720" s="6"/>
    </row>
    <row r="721" spans="2:5" x14ac:dyDescent="0.2">
      <c r="B721" s="9"/>
      <c r="C721" s="4"/>
      <c r="D721" s="5"/>
      <c r="E721" s="6"/>
    </row>
    <row r="722" spans="2:5" x14ac:dyDescent="0.2">
      <c r="B722" s="9"/>
      <c r="C722" s="4"/>
      <c r="D722" s="5"/>
      <c r="E722" s="6"/>
    </row>
    <row r="723" spans="2:5" x14ac:dyDescent="0.2">
      <c r="B723" s="9"/>
      <c r="C723" s="4"/>
      <c r="D723" s="5"/>
      <c r="E723" s="6"/>
    </row>
    <row r="724" spans="2:5" x14ac:dyDescent="0.2">
      <c r="B724" s="9"/>
      <c r="C724" s="4"/>
      <c r="D724" s="5"/>
      <c r="E724" s="6"/>
    </row>
    <row r="725" spans="2:5" x14ac:dyDescent="0.2">
      <c r="B725" s="9"/>
      <c r="C725" s="4"/>
      <c r="D725" s="5"/>
      <c r="E725" s="6"/>
    </row>
    <row r="726" spans="2:5" x14ac:dyDescent="0.2">
      <c r="B726" s="9"/>
      <c r="C726" s="4"/>
      <c r="D726" s="5"/>
      <c r="E726" s="6"/>
    </row>
    <row r="727" spans="2:5" x14ac:dyDescent="0.2">
      <c r="B727" s="9"/>
      <c r="C727" s="4"/>
      <c r="D727" s="5"/>
      <c r="E727" s="6"/>
    </row>
    <row r="728" spans="2:5" x14ac:dyDescent="0.2">
      <c r="B728" s="9"/>
      <c r="C728" s="4"/>
      <c r="D728" s="5"/>
      <c r="E728" s="6"/>
    </row>
    <row r="729" spans="2:5" x14ac:dyDescent="0.2">
      <c r="B729" s="9"/>
      <c r="C729" s="4"/>
      <c r="D729" s="5"/>
      <c r="E729" s="6"/>
    </row>
    <row r="730" spans="2:5" x14ac:dyDescent="0.2">
      <c r="B730" s="9"/>
      <c r="C730" s="4"/>
      <c r="D730" s="5"/>
      <c r="E730" s="6"/>
    </row>
    <row r="731" spans="2:5" x14ac:dyDescent="0.2">
      <c r="B731" s="9"/>
      <c r="C731" s="4"/>
      <c r="D731" s="5"/>
      <c r="E731" s="6"/>
    </row>
    <row r="732" spans="2:5" x14ac:dyDescent="0.2">
      <c r="B732" s="9"/>
      <c r="C732" s="4"/>
      <c r="D732" s="5"/>
      <c r="E732" s="6"/>
    </row>
    <row r="733" spans="2:5" x14ac:dyDescent="0.2">
      <c r="B733" s="9"/>
      <c r="C733" s="4"/>
      <c r="D733" s="5"/>
      <c r="E733" s="6"/>
    </row>
    <row r="734" spans="2:5" x14ac:dyDescent="0.2">
      <c r="B734" s="9"/>
      <c r="C734" s="4"/>
      <c r="D734" s="5"/>
      <c r="E734" s="6"/>
    </row>
    <row r="735" spans="2:5" x14ac:dyDescent="0.2">
      <c r="B735" s="9"/>
      <c r="C735" s="4"/>
      <c r="D735" s="5"/>
      <c r="E735" s="6"/>
    </row>
    <row r="736" spans="2:5" x14ac:dyDescent="0.2">
      <c r="B736" s="9"/>
      <c r="C736" s="4"/>
      <c r="D736" s="5"/>
      <c r="E736" s="6"/>
    </row>
    <row r="737" spans="2:5" x14ac:dyDescent="0.2">
      <c r="B737" s="9"/>
      <c r="C737" s="4"/>
      <c r="D737" s="5"/>
      <c r="E737" s="6"/>
    </row>
    <row r="738" spans="2:5" x14ac:dyDescent="0.2">
      <c r="B738" s="9"/>
      <c r="C738" s="4"/>
      <c r="D738" s="5"/>
      <c r="E738" s="6"/>
    </row>
    <row r="739" spans="2:5" x14ac:dyDescent="0.2">
      <c r="B739" s="9"/>
      <c r="C739" s="4"/>
      <c r="D739" s="5"/>
      <c r="E739" s="6"/>
    </row>
    <row r="740" spans="2:5" x14ac:dyDescent="0.2">
      <c r="B740" s="9"/>
      <c r="C740" s="4"/>
      <c r="D740" s="5"/>
      <c r="E740" s="6"/>
    </row>
    <row r="741" spans="2:5" x14ac:dyDescent="0.2">
      <c r="B741" s="9"/>
      <c r="C741" s="4"/>
      <c r="D741" s="5"/>
      <c r="E741" s="6"/>
    </row>
    <row r="742" spans="2:5" x14ac:dyDescent="0.2">
      <c r="B742" s="9"/>
      <c r="C742" s="4"/>
      <c r="D742" s="5"/>
      <c r="E742" s="6"/>
    </row>
    <row r="743" spans="2:5" x14ac:dyDescent="0.2">
      <c r="B743" s="9"/>
      <c r="C743" s="4"/>
      <c r="D743" s="5"/>
      <c r="E743" s="6"/>
    </row>
    <row r="744" spans="2:5" x14ac:dyDescent="0.2">
      <c r="B744" s="9"/>
      <c r="C744" s="4"/>
      <c r="D744" s="5"/>
      <c r="E744" s="6"/>
    </row>
    <row r="745" spans="2:5" x14ac:dyDescent="0.2">
      <c r="B745" s="9"/>
      <c r="C745" s="4"/>
      <c r="D745" s="5"/>
      <c r="E745" s="6"/>
    </row>
    <row r="746" spans="2:5" x14ac:dyDescent="0.2">
      <c r="B746" s="9"/>
      <c r="C746" s="4"/>
      <c r="D746" s="5"/>
      <c r="E746" s="6"/>
    </row>
    <row r="747" spans="2:5" x14ac:dyDescent="0.2">
      <c r="B747" s="9"/>
      <c r="C747" s="4"/>
      <c r="D747" s="5"/>
      <c r="E747" s="6"/>
    </row>
    <row r="748" spans="2:5" x14ac:dyDescent="0.2">
      <c r="B748" s="9"/>
      <c r="C748" s="4"/>
      <c r="D748" s="5"/>
      <c r="E748" s="6"/>
    </row>
    <row r="749" spans="2:5" x14ac:dyDescent="0.2">
      <c r="B749" s="9"/>
      <c r="C749" s="4"/>
      <c r="D749" s="5"/>
      <c r="E749" s="6"/>
    </row>
    <row r="750" spans="2:5" x14ac:dyDescent="0.2">
      <c r="B750" s="9"/>
      <c r="C750" s="4"/>
      <c r="D750" s="5"/>
      <c r="E750" s="6"/>
    </row>
    <row r="751" spans="2:5" x14ac:dyDescent="0.2">
      <c r="B751" s="9"/>
      <c r="C751" s="4"/>
      <c r="D751" s="5"/>
      <c r="E751" s="6"/>
    </row>
    <row r="752" spans="2:5" x14ac:dyDescent="0.2">
      <c r="B752" s="9"/>
      <c r="C752" s="4"/>
      <c r="D752" s="5"/>
      <c r="E752" s="6"/>
    </row>
    <row r="753" spans="2:5" x14ac:dyDescent="0.2">
      <c r="B753" s="9"/>
      <c r="C753" s="4"/>
      <c r="D753" s="5"/>
      <c r="E753" s="6"/>
    </row>
    <row r="754" spans="2:5" x14ac:dyDescent="0.2">
      <c r="B754" s="9"/>
      <c r="C754" s="4"/>
      <c r="D754" s="5"/>
      <c r="E754" s="6"/>
    </row>
    <row r="755" spans="2:5" x14ac:dyDescent="0.2">
      <c r="B755" s="9"/>
      <c r="C755" s="4"/>
      <c r="D755" s="5"/>
      <c r="E755" s="6"/>
    </row>
    <row r="756" spans="2:5" x14ac:dyDescent="0.2">
      <c r="B756" s="9"/>
      <c r="C756" s="4"/>
      <c r="D756" s="5"/>
      <c r="E756" s="6"/>
    </row>
    <row r="757" spans="2:5" x14ac:dyDescent="0.2">
      <c r="B757" s="9"/>
      <c r="C757" s="4"/>
      <c r="D757" s="5"/>
      <c r="E757" s="6"/>
    </row>
    <row r="758" spans="2:5" x14ac:dyDescent="0.2">
      <c r="B758" s="9"/>
      <c r="C758" s="4"/>
      <c r="D758" s="5"/>
      <c r="E758" s="6"/>
    </row>
    <row r="759" spans="2:5" x14ac:dyDescent="0.2">
      <c r="B759" s="9"/>
      <c r="C759" s="4"/>
      <c r="D759" s="5"/>
      <c r="E759" s="6"/>
    </row>
    <row r="760" spans="2:5" x14ac:dyDescent="0.2">
      <c r="B760" s="9"/>
      <c r="C760" s="4"/>
      <c r="D760" s="5"/>
      <c r="E760" s="6"/>
    </row>
    <row r="761" spans="2:5" x14ac:dyDescent="0.2">
      <c r="B761" s="9"/>
      <c r="C761" s="4"/>
      <c r="D761" s="5"/>
      <c r="E761" s="6"/>
    </row>
    <row r="762" spans="2:5" x14ac:dyDescent="0.2">
      <c r="B762" s="9"/>
      <c r="C762" s="4"/>
      <c r="D762" s="5"/>
      <c r="E762" s="6"/>
    </row>
    <row r="763" spans="2:5" x14ac:dyDescent="0.2">
      <c r="B763" s="9"/>
      <c r="C763" s="4"/>
      <c r="D763" s="5"/>
      <c r="E763" s="6"/>
    </row>
    <row r="764" spans="2:5" x14ac:dyDescent="0.2">
      <c r="B764" s="9"/>
      <c r="C764" s="4"/>
      <c r="D764" s="5"/>
      <c r="E764" s="6"/>
    </row>
    <row r="765" spans="2:5" x14ac:dyDescent="0.2">
      <c r="B765" s="9"/>
      <c r="C765" s="4"/>
      <c r="D765" s="5"/>
      <c r="E765" s="6"/>
    </row>
    <row r="766" spans="2:5" x14ac:dyDescent="0.2">
      <c r="B766" s="9"/>
      <c r="C766" s="4"/>
      <c r="D766" s="5"/>
      <c r="E766" s="6"/>
    </row>
    <row r="767" spans="2:5" x14ac:dyDescent="0.2">
      <c r="B767" s="9"/>
      <c r="C767" s="4"/>
      <c r="D767" s="5"/>
      <c r="E767" s="6"/>
    </row>
    <row r="768" spans="2:5" x14ac:dyDescent="0.2">
      <c r="B768" s="9"/>
      <c r="C768" s="4"/>
      <c r="D768" s="5"/>
      <c r="E768" s="6"/>
    </row>
    <row r="769" spans="2:5" x14ac:dyDescent="0.2">
      <c r="B769" s="9"/>
      <c r="C769" s="4"/>
      <c r="D769" s="5"/>
      <c r="E769" s="6"/>
    </row>
    <row r="770" spans="2:5" x14ac:dyDescent="0.2">
      <c r="B770" s="9"/>
      <c r="C770" s="4"/>
      <c r="D770" s="5"/>
      <c r="E770" s="6"/>
    </row>
    <row r="771" spans="2:5" x14ac:dyDescent="0.2">
      <c r="B771" s="9"/>
      <c r="C771" s="4"/>
      <c r="D771" s="5"/>
      <c r="E771" s="6"/>
    </row>
    <row r="772" spans="2:5" x14ac:dyDescent="0.2">
      <c r="B772" s="9"/>
      <c r="C772" s="4"/>
      <c r="D772" s="5"/>
      <c r="E772" s="6"/>
    </row>
    <row r="773" spans="2:5" x14ac:dyDescent="0.2">
      <c r="B773" s="9"/>
      <c r="C773" s="4"/>
      <c r="D773" s="5"/>
      <c r="E773" s="6"/>
    </row>
    <row r="774" spans="2:5" x14ac:dyDescent="0.2">
      <c r="B774" s="9"/>
      <c r="C774" s="4"/>
      <c r="D774" s="5"/>
      <c r="E774" s="6"/>
    </row>
    <row r="775" spans="2:5" x14ac:dyDescent="0.2">
      <c r="B775" s="9"/>
      <c r="C775" s="4"/>
      <c r="D775" s="5"/>
      <c r="E775" s="6"/>
    </row>
    <row r="776" spans="2:5" x14ac:dyDescent="0.2">
      <c r="B776" s="9"/>
      <c r="C776" s="4"/>
      <c r="D776" s="5"/>
      <c r="E776" s="6"/>
    </row>
    <row r="777" spans="2:5" x14ac:dyDescent="0.2">
      <c r="B777" s="9"/>
      <c r="C777" s="4"/>
      <c r="D777" s="5"/>
      <c r="E777" s="6"/>
    </row>
    <row r="778" spans="2:5" x14ac:dyDescent="0.2">
      <c r="B778" s="9"/>
      <c r="C778" s="4"/>
      <c r="D778" s="5"/>
      <c r="E778" s="6"/>
    </row>
    <row r="779" spans="2:5" x14ac:dyDescent="0.2">
      <c r="B779" s="9"/>
      <c r="C779" s="4"/>
      <c r="D779" s="5"/>
      <c r="E779" s="6"/>
    </row>
    <row r="780" spans="2:5" x14ac:dyDescent="0.2">
      <c r="B780" s="9"/>
      <c r="C780" s="4"/>
      <c r="D780" s="5"/>
      <c r="E780" s="6"/>
    </row>
    <row r="781" spans="2:5" x14ac:dyDescent="0.2">
      <c r="B781" s="9"/>
      <c r="C781" s="4"/>
      <c r="D781" s="5"/>
      <c r="E781" s="6"/>
    </row>
    <row r="782" spans="2:5" x14ac:dyDescent="0.2">
      <c r="B782" s="9"/>
      <c r="C782" s="4"/>
      <c r="D782" s="5"/>
      <c r="E782" s="6"/>
    </row>
    <row r="783" spans="2:5" x14ac:dyDescent="0.2">
      <c r="B783" s="9"/>
      <c r="C783" s="4"/>
      <c r="D783" s="5"/>
      <c r="E783" s="6"/>
    </row>
    <row r="784" spans="2:5" x14ac:dyDescent="0.2">
      <c r="B784" s="9"/>
      <c r="C784" s="4"/>
      <c r="D784" s="5"/>
      <c r="E784" s="6"/>
    </row>
    <row r="785" spans="2:5" x14ac:dyDescent="0.2">
      <c r="B785" s="9"/>
      <c r="C785" s="4"/>
      <c r="D785" s="5"/>
      <c r="E785" s="6"/>
    </row>
    <row r="786" spans="2:5" x14ac:dyDescent="0.2">
      <c r="B786" s="9"/>
      <c r="C786" s="4"/>
      <c r="D786" s="5"/>
      <c r="E786" s="6"/>
    </row>
    <row r="787" spans="2:5" x14ac:dyDescent="0.2">
      <c r="B787" s="9"/>
      <c r="C787" s="4"/>
      <c r="D787" s="5"/>
      <c r="E787" s="6"/>
    </row>
    <row r="788" spans="2:5" x14ac:dyDescent="0.2">
      <c r="B788" s="9"/>
      <c r="C788" s="4"/>
      <c r="D788" s="5"/>
      <c r="E788" s="6"/>
    </row>
    <row r="789" spans="2:5" x14ac:dyDescent="0.2">
      <c r="B789" s="9"/>
      <c r="C789" s="4"/>
      <c r="D789" s="5"/>
      <c r="E789" s="6"/>
    </row>
    <row r="790" spans="2:5" x14ac:dyDescent="0.2">
      <c r="B790" s="9"/>
      <c r="C790" s="4"/>
      <c r="D790" s="5"/>
      <c r="E790" s="6"/>
    </row>
    <row r="791" spans="2:5" x14ac:dyDescent="0.2">
      <c r="B791" s="9"/>
      <c r="C791" s="4"/>
      <c r="D791" s="5"/>
      <c r="E791" s="6"/>
    </row>
    <row r="792" spans="2:5" x14ac:dyDescent="0.2">
      <c r="B792" s="9"/>
      <c r="C792" s="4"/>
      <c r="D792" s="5"/>
      <c r="E792" s="6"/>
    </row>
    <row r="793" spans="2:5" x14ac:dyDescent="0.2">
      <c r="B793" s="9"/>
      <c r="C793" s="4"/>
      <c r="D793" s="5"/>
      <c r="E793" s="6"/>
    </row>
    <row r="794" spans="2:5" x14ac:dyDescent="0.2">
      <c r="B794" s="9"/>
      <c r="C794" s="4"/>
      <c r="D794" s="5"/>
      <c r="E794" s="6"/>
    </row>
    <row r="795" spans="2:5" x14ac:dyDescent="0.2">
      <c r="B795" s="9"/>
      <c r="C795" s="4"/>
      <c r="D795" s="5"/>
      <c r="E795" s="6"/>
    </row>
    <row r="796" spans="2:5" x14ac:dyDescent="0.2">
      <c r="B796" s="9"/>
      <c r="C796" s="4"/>
      <c r="D796" s="5"/>
      <c r="E796" s="6"/>
    </row>
    <row r="797" spans="2:5" x14ac:dyDescent="0.2">
      <c r="B797" s="9"/>
      <c r="C797" s="4"/>
      <c r="D797" s="5"/>
      <c r="E797" s="6"/>
    </row>
    <row r="798" spans="2:5" x14ac:dyDescent="0.2">
      <c r="B798" s="9"/>
      <c r="C798" s="4"/>
      <c r="D798" s="5"/>
      <c r="E798" s="6"/>
    </row>
    <row r="799" spans="2:5" x14ac:dyDescent="0.2">
      <c r="B799" s="9"/>
      <c r="C799" s="4"/>
      <c r="D799" s="5"/>
      <c r="E799" s="6"/>
    </row>
    <row r="800" spans="2:5" x14ac:dyDescent="0.2">
      <c r="B800" s="9"/>
      <c r="C800" s="4"/>
      <c r="D800" s="5"/>
      <c r="E800" s="6"/>
    </row>
    <row r="801" spans="2:5" x14ac:dyDescent="0.2">
      <c r="B801" s="9"/>
      <c r="C801" s="4"/>
      <c r="D801" s="5"/>
      <c r="E801" s="6"/>
    </row>
    <row r="802" spans="2:5" x14ac:dyDescent="0.2">
      <c r="B802" s="9"/>
      <c r="C802" s="4"/>
      <c r="D802" s="5"/>
      <c r="E802" s="6"/>
    </row>
    <row r="803" spans="2:5" x14ac:dyDescent="0.2">
      <c r="B803" s="9"/>
      <c r="C803" s="4"/>
      <c r="D803" s="5"/>
      <c r="E803" s="6"/>
    </row>
    <row r="804" spans="2:5" x14ac:dyDescent="0.2">
      <c r="B804" s="9"/>
      <c r="C804" s="4"/>
      <c r="D804" s="5"/>
      <c r="E804" s="6"/>
    </row>
    <row r="805" spans="2:5" x14ac:dyDescent="0.2">
      <c r="B805" s="9"/>
      <c r="C805" s="4"/>
      <c r="D805" s="5"/>
      <c r="E805" s="6"/>
    </row>
    <row r="806" spans="2:5" x14ac:dyDescent="0.2">
      <c r="B806" s="9"/>
      <c r="C806" s="4"/>
      <c r="D806" s="5"/>
      <c r="E806" s="6"/>
    </row>
    <row r="807" spans="2:5" x14ac:dyDescent="0.2">
      <c r="B807" s="9"/>
      <c r="C807" s="4"/>
      <c r="D807" s="5"/>
      <c r="E807" s="6"/>
    </row>
    <row r="808" spans="2:5" x14ac:dyDescent="0.2">
      <c r="B808" s="9"/>
      <c r="C808" s="4"/>
      <c r="D808" s="5"/>
      <c r="E808" s="6"/>
    </row>
    <row r="809" spans="2:5" x14ac:dyDescent="0.2">
      <c r="B809" s="9"/>
      <c r="C809" s="4"/>
      <c r="D809" s="5"/>
      <c r="E809" s="6"/>
    </row>
    <row r="810" spans="2:5" x14ac:dyDescent="0.2">
      <c r="B810" s="9"/>
      <c r="C810" s="4"/>
      <c r="D810" s="5"/>
      <c r="E810" s="6"/>
    </row>
    <row r="811" spans="2:5" x14ac:dyDescent="0.2">
      <c r="B811" s="9"/>
      <c r="C811" s="4"/>
      <c r="D811" s="5"/>
      <c r="E811" s="6"/>
    </row>
    <row r="812" spans="2:5" x14ac:dyDescent="0.2">
      <c r="B812" s="9"/>
      <c r="C812" s="4"/>
      <c r="D812" s="5"/>
      <c r="E812" s="6"/>
    </row>
    <row r="813" spans="2:5" x14ac:dyDescent="0.2">
      <c r="B813" s="9"/>
      <c r="C813" s="4"/>
      <c r="D813" s="5"/>
      <c r="E813" s="6"/>
    </row>
    <row r="814" spans="2:5" x14ac:dyDescent="0.2">
      <c r="B814" s="9"/>
      <c r="C814" s="4"/>
      <c r="D814" s="5"/>
      <c r="E814" s="6"/>
    </row>
    <row r="815" spans="2:5" x14ac:dyDescent="0.2">
      <c r="B815" s="9"/>
      <c r="C815" s="4"/>
      <c r="D815" s="5"/>
      <c r="E815" s="6"/>
    </row>
    <row r="816" spans="2:5" x14ac:dyDescent="0.2">
      <c r="B816" s="9"/>
      <c r="C816" s="4"/>
      <c r="D816" s="5"/>
      <c r="E816" s="6"/>
    </row>
    <row r="817" spans="2:5" x14ac:dyDescent="0.2">
      <c r="B817" s="9"/>
      <c r="C817" s="4"/>
      <c r="D817" s="5"/>
      <c r="E817" s="6"/>
    </row>
    <row r="818" spans="2:5" x14ac:dyDescent="0.2">
      <c r="B818" s="9"/>
      <c r="C818" s="4"/>
      <c r="D818" s="5"/>
      <c r="E818" s="6"/>
    </row>
    <row r="819" spans="2:5" x14ac:dyDescent="0.2">
      <c r="B819" s="9"/>
      <c r="C819" s="4"/>
      <c r="D819" s="5"/>
      <c r="E819" s="6"/>
    </row>
    <row r="820" spans="2:5" x14ac:dyDescent="0.2">
      <c r="B820" s="9"/>
      <c r="C820" s="4"/>
      <c r="D820" s="5"/>
      <c r="E820" s="6"/>
    </row>
    <row r="821" spans="2:5" x14ac:dyDescent="0.2">
      <c r="B821" s="9"/>
      <c r="C821" s="4"/>
      <c r="D821" s="5"/>
      <c r="E821" s="6"/>
    </row>
    <row r="822" spans="2:5" x14ac:dyDescent="0.2">
      <c r="B822" s="9"/>
      <c r="C822" s="4"/>
      <c r="D822" s="5"/>
      <c r="E822" s="6"/>
    </row>
    <row r="823" spans="2:5" x14ac:dyDescent="0.2">
      <c r="B823" s="9"/>
      <c r="C823" s="4"/>
      <c r="D823" s="5"/>
      <c r="E823" s="6"/>
    </row>
    <row r="824" spans="2:5" x14ac:dyDescent="0.2">
      <c r="B824" s="9"/>
      <c r="C824" s="4"/>
      <c r="D824" s="5"/>
      <c r="E824" s="6"/>
    </row>
    <row r="825" spans="2:5" x14ac:dyDescent="0.2">
      <c r="B825" s="9"/>
      <c r="C825" s="4"/>
      <c r="D825" s="5"/>
      <c r="E825" s="6"/>
    </row>
    <row r="826" spans="2:5" x14ac:dyDescent="0.2">
      <c r="B826" s="9"/>
      <c r="C826" s="4"/>
      <c r="D826" s="5"/>
      <c r="E826" s="6"/>
    </row>
    <row r="827" spans="2:5" x14ac:dyDescent="0.2">
      <c r="B827" s="9"/>
      <c r="C827" s="4"/>
      <c r="D827" s="5"/>
      <c r="E827" s="6"/>
    </row>
    <row r="828" spans="2:5" x14ac:dyDescent="0.2">
      <c r="B828" s="9"/>
      <c r="C828" s="4"/>
      <c r="D828" s="5"/>
      <c r="E828" s="6"/>
    </row>
    <row r="829" spans="2:5" x14ac:dyDescent="0.2">
      <c r="B829" s="9"/>
      <c r="C829" s="4"/>
      <c r="D829" s="5"/>
      <c r="E829" s="6"/>
    </row>
    <row r="830" spans="2:5" x14ac:dyDescent="0.2">
      <c r="B830" s="9"/>
      <c r="C830" s="4"/>
      <c r="D830" s="5"/>
      <c r="E830" s="6"/>
    </row>
    <row r="831" spans="2:5" x14ac:dyDescent="0.2">
      <c r="B831" s="9"/>
      <c r="C831" s="4"/>
      <c r="D831" s="5"/>
      <c r="E831" s="6"/>
    </row>
    <row r="832" spans="2:5" x14ac:dyDescent="0.2">
      <c r="B832" s="9"/>
      <c r="C832" s="4"/>
      <c r="D832" s="5"/>
      <c r="E832" s="6"/>
    </row>
    <row r="833" spans="2:5" x14ac:dyDescent="0.2">
      <c r="B833" s="9"/>
      <c r="C833" s="4"/>
      <c r="D833" s="5"/>
      <c r="E833" s="6"/>
    </row>
    <row r="834" spans="2:5" x14ac:dyDescent="0.2">
      <c r="B834" s="9"/>
      <c r="C834" s="4"/>
      <c r="D834" s="5"/>
      <c r="E834" s="6"/>
    </row>
    <row r="835" spans="2:5" x14ac:dyDescent="0.2">
      <c r="B835" s="9"/>
      <c r="C835" s="4"/>
      <c r="D835" s="5"/>
      <c r="E835" s="6"/>
    </row>
    <row r="836" spans="2:5" x14ac:dyDescent="0.2">
      <c r="B836" s="9"/>
      <c r="C836" s="4"/>
      <c r="D836" s="5"/>
      <c r="E836" s="6"/>
    </row>
    <row r="837" spans="2:5" x14ac:dyDescent="0.2">
      <c r="B837" s="9"/>
      <c r="C837" s="4"/>
      <c r="D837" s="5"/>
      <c r="E837" s="6"/>
    </row>
    <row r="838" spans="2:5" x14ac:dyDescent="0.2">
      <c r="B838" s="9"/>
      <c r="C838" s="4"/>
      <c r="D838" s="5"/>
      <c r="E838" s="6"/>
    </row>
    <row r="839" spans="2:5" x14ac:dyDescent="0.2">
      <c r="B839" s="9"/>
      <c r="C839" s="4"/>
      <c r="D839" s="5"/>
      <c r="E839" s="6"/>
    </row>
    <row r="840" spans="2:5" x14ac:dyDescent="0.2">
      <c r="B840" s="9"/>
      <c r="C840" s="4"/>
      <c r="D840" s="5"/>
      <c r="E840" s="6"/>
    </row>
    <row r="841" spans="2:5" x14ac:dyDescent="0.2">
      <c r="B841" s="9"/>
      <c r="C841" s="4"/>
      <c r="D841" s="5"/>
      <c r="E841" s="6"/>
    </row>
    <row r="842" spans="2:5" x14ac:dyDescent="0.2">
      <c r="B842" s="9"/>
      <c r="C842" s="4"/>
      <c r="D842" s="5"/>
      <c r="E842" s="6"/>
    </row>
    <row r="843" spans="2:5" x14ac:dyDescent="0.2">
      <c r="B843" s="9"/>
      <c r="C843" s="4"/>
      <c r="D843" s="5"/>
      <c r="E843" s="6"/>
    </row>
    <row r="844" spans="2:5" x14ac:dyDescent="0.2">
      <c r="B844" s="9"/>
      <c r="C844" s="4"/>
      <c r="D844" s="5"/>
      <c r="E844" s="6"/>
    </row>
    <row r="845" spans="2:5" x14ac:dyDescent="0.2">
      <c r="B845" s="9"/>
      <c r="C845" s="4"/>
      <c r="D845" s="5"/>
      <c r="E845" s="6"/>
    </row>
    <row r="846" spans="2:5" x14ac:dyDescent="0.2">
      <c r="B846" s="9"/>
      <c r="C846" s="4"/>
      <c r="D846" s="5"/>
      <c r="E846" s="6"/>
    </row>
    <row r="847" spans="2:5" x14ac:dyDescent="0.2">
      <c r="B847" s="9"/>
      <c r="C847" s="4"/>
      <c r="D847" s="5"/>
      <c r="E847" s="6"/>
    </row>
    <row r="848" spans="2:5" x14ac:dyDescent="0.2">
      <c r="B848" s="9"/>
      <c r="C848" s="4"/>
      <c r="D848" s="5"/>
      <c r="E848" s="6"/>
    </row>
    <row r="849" spans="2:5" x14ac:dyDescent="0.2">
      <c r="B849" s="9"/>
      <c r="C849" s="4"/>
      <c r="D849" s="5"/>
      <c r="E849" s="6"/>
    </row>
    <row r="850" spans="2:5" x14ac:dyDescent="0.2">
      <c r="B850" s="9"/>
      <c r="C850" s="4"/>
      <c r="D850" s="5"/>
      <c r="E850" s="6"/>
    </row>
    <row r="851" spans="2:5" x14ac:dyDescent="0.2">
      <c r="B851" s="9"/>
      <c r="C851" s="4"/>
      <c r="D851" s="5"/>
      <c r="E851" s="6"/>
    </row>
    <row r="852" spans="2:5" x14ac:dyDescent="0.2">
      <c r="B852" s="9"/>
      <c r="C852" s="4"/>
      <c r="D852" s="5"/>
      <c r="E852" s="6"/>
    </row>
    <row r="853" spans="2:5" x14ac:dyDescent="0.2">
      <c r="B853" s="9"/>
      <c r="C853" s="4"/>
      <c r="D853" s="5"/>
      <c r="E853" s="6"/>
    </row>
    <row r="854" spans="2:5" x14ac:dyDescent="0.2">
      <c r="B854" s="9"/>
      <c r="C854" s="4"/>
      <c r="D854" s="5"/>
      <c r="E854" s="6"/>
    </row>
    <row r="855" spans="2:5" x14ac:dyDescent="0.2">
      <c r="B855" s="9"/>
      <c r="C855" s="4"/>
      <c r="D855" s="5"/>
      <c r="E855" s="6"/>
    </row>
    <row r="856" spans="2:5" x14ac:dyDescent="0.2">
      <c r="B856" s="9"/>
      <c r="C856" s="4"/>
      <c r="D856" s="5"/>
      <c r="E856" s="6"/>
    </row>
    <row r="857" spans="2:5" x14ac:dyDescent="0.2">
      <c r="B857" s="9"/>
      <c r="C857" s="4"/>
      <c r="D857" s="5"/>
      <c r="E857" s="6"/>
    </row>
    <row r="858" spans="2:5" x14ac:dyDescent="0.2">
      <c r="B858" s="9"/>
      <c r="C858" s="4"/>
      <c r="D858" s="5"/>
      <c r="E858" s="6"/>
    </row>
    <row r="859" spans="2:5" x14ac:dyDescent="0.2">
      <c r="B859" s="9"/>
      <c r="C859" s="4"/>
      <c r="D859" s="5"/>
      <c r="E859" s="6"/>
    </row>
    <row r="860" spans="2:5" x14ac:dyDescent="0.2">
      <c r="B860" s="9"/>
      <c r="C860" s="4"/>
      <c r="D860" s="5"/>
      <c r="E860" s="6"/>
    </row>
    <row r="861" spans="2:5" x14ac:dyDescent="0.2">
      <c r="B861" s="9"/>
      <c r="C861" s="4"/>
      <c r="D861" s="5"/>
      <c r="E861" s="6"/>
    </row>
    <row r="862" spans="2:5" x14ac:dyDescent="0.2">
      <c r="B862" s="9"/>
      <c r="C862" s="4"/>
      <c r="D862" s="5"/>
      <c r="E862" s="6"/>
    </row>
    <row r="863" spans="2:5" x14ac:dyDescent="0.2">
      <c r="B863" s="9"/>
      <c r="C863" s="4"/>
      <c r="D863" s="5"/>
      <c r="E863" s="6"/>
    </row>
    <row r="864" spans="2:5" x14ac:dyDescent="0.2">
      <c r="B864" s="9"/>
      <c r="C864" s="4"/>
      <c r="D864" s="5"/>
      <c r="E864" s="6"/>
    </row>
    <row r="865" spans="2:5" x14ac:dyDescent="0.2">
      <c r="B865" s="9"/>
      <c r="C865" s="4"/>
      <c r="D865" s="5"/>
      <c r="E865" s="6"/>
    </row>
    <row r="866" spans="2:5" x14ac:dyDescent="0.2">
      <c r="B866" s="9"/>
      <c r="C866" s="4"/>
      <c r="D866" s="5"/>
      <c r="E866" s="6"/>
    </row>
    <row r="867" spans="2:5" x14ac:dyDescent="0.2">
      <c r="B867" s="9"/>
      <c r="C867" s="4"/>
      <c r="D867" s="5"/>
      <c r="E867" s="6"/>
    </row>
    <row r="868" spans="2:5" x14ac:dyDescent="0.2">
      <c r="B868" s="9"/>
      <c r="C868" s="4"/>
      <c r="D868" s="5"/>
      <c r="E868" s="6"/>
    </row>
    <row r="869" spans="2:5" x14ac:dyDescent="0.2">
      <c r="B869" s="9"/>
      <c r="C869" s="4"/>
      <c r="D869" s="5"/>
      <c r="E869" s="6"/>
    </row>
    <row r="870" spans="2:5" x14ac:dyDescent="0.2">
      <c r="B870" s="9"/>
      <c r="C870" s="4"/>
      <c r="D870" s="5"/>
      <c r="E870" s="6"/>
    </row>
    <row r="871" spans="2:5" x14ac:dyDescent="0.2">
      <c r="B871" s="9"/>
      <c r="C871" s="4"/>
      <c r="D871" s="5"/>
      <c r="E871" s="6"/>
    </row>
    <row r="872" spans="2:5" x14ac:dyDescent="0.2">
      <c r="B872" s="9"/>
      <c r="C872" s="4"/>
      <c r="D872" s="5"/>
      <c r="E872" s="6"/>
    </row>
    <row r="873" spans="2:5" x14ac:dyDescent="0.2">
      <c r="B873" s="9"/>
      <c r="C873" s="4"/>
      <c r="D873" s="5"/>
      <c r="E873" s="6"/>
    </row>
    <row r="874" spans="2:5" x14ac:dyDescent="0.2">
      <c r="B874" s="9"/>
      <c r="C874" s="4"/>
      <c r="D874" s="5"/>
      <c r="E874" s="6"/>
    </row>
    <row r="875" spans="2:5" x14ac:dyDescent="0.2">
      <c r="B875" s="9"/>
      <c r="C875" s="4"/>
      <c r="D875" s="5"/>
      <c r="E875" s="6"/>
    </row>
    <row r="876" spans="2:5" x14ac:dyDescent="0.2">
      <c r="B876" s="9"/>
      <c r="C876" s="4"/>
      <c r="D876" s="5"/>
      <c r="E876" s="6"/>
    </row>
    <row r="877" spans="2:5" x14ac:dyDescent="0.2">
      <c r="B877" s="9"/>
      <c r="C877" s="4"/>
      <c r="D877" s="5"/>
      <c r="E877" s="6"/>
    </row>
    <row r="878" spans="2:5" x14ac:dyDescent="0.2">
      <c r="B878" s="9"/>
      <c r="C878" s="4"/>
      <c r="D878" s="5"/>
      <c r="E878" s="6"/>
    </row>
    <row r="879" spans="2:5" x14ac:dyDescent="0.2">
      <c r="B879" s="9"/>
      <c r="C879" s="4"/>
      <c r="D879" s="5"/>
      <c r="E879" s="6"/>
    </row>
    <row r="880" spans="2:5" x14ac:dyDescent="0.2">
      <c r="B880" s="9"/>
      <c r="C880" s="4"/>
      <c r="D880" s="5"/>
      <c r="E880" s="6"/>
    </row>
    <row r="881" spans="2:5" x14ac:dyDescent="0.2">
      <c r="B881" s="9"/>
      <c r="C881" s="4"/>
      <c r="D881" s="5"/>
      <c r="E881" s="6"/>
    </row>
    <row r="882" spans="2:5" x14ac:dyDescent="0.2">
      <c r="B882" s="9"/>
      <c r="C882" s="4"/>
      <c r="D882" s="5"/>
      <c r="E882" s="6"/>
    </row>
    <row r="883" spans="2:5" x14ac:dyDescent="0.2">
      <c r="B883" s="9"/>
      <c r="C883" s="4"/>
      <c r="D883" s="5"/>
      <c r="E883" s="6"/>
    </row>
    <row r="884" spans="2:5" x14ac:dyDescent="0.2">
      <c r="B884" s="9"/>
      <c r="C884" s="4"/>
      <c r="D884" s="5"/>
      <c r="E884" s="6"/>
    </row>
    <row r="885" spans="2:5" x14ac:dyDescent="0.2">
      <c r="B885" s="9"/>
      <c r="C885" s="4"/>
      <c r="D885" s="5"/>
      <c r="E885" s="6"/>
    </row>
    <row r="886" spans="2:5" x14ac:dyDescent="0.2">
      <c r="B886" s="9"/>
      <c r="C886" s="4"/>
      <c r="D886" s="5"/>
      <c r="E886" s="6"/>
    </row>
    <row r="887" spans="2:5" x14ac:dyDescent="0.2">
      <c r="B887" s="9"/>
      <c r="C887" s="4"/>
      <c r="D887" s="5"/>
      <c r="E887" s="6"/>
    </row>
    <row r="888" spans="2:5" x14ac:dyDescent="0.2">
      <c r="B888" s="9"/>
      <c r="C888" s="4"/>
      <c r="D888" s="5"/>
      <c r="E888" s="6"/>
    </row>
    <row r="889" spans="2:5" x14ac:dyDescent="0.2">
      <c r="B889" s="9"/>
      <c r="C889" s="4"/>
      <c r="D889" s="5"/>
      <c r="E889" s="6"/>
    </row>
    <row r="890" spans="2:5" x14ac:dyDescent="0.2">
      <c r="B890" s="9"/>
      <c r="C890" s="4"/>
      <c r="D890" s="5"/>
      <c r="E890" s="6"/>
    </row>
    <row r="891" spans="2:5" x14ac:dyDescent="0.2">
      <c r="B891" s="9"/>
      <c r="C891" s="4"/>
      <c r="D891" s="5"/>
      <c r="E891" s="6"/>
    </row>
    <row r="892" spans="2:5" x14ac:dyDescent="0.2">
      <c r="B892" s="9"/>
      <c r="C892" s="4"/>
      <c r="D892" s="5"/>
      <c r="E892" s="6"/>
    </row>
    <row r="893" spans="2:5" x14ac:dyDescent="0.2">
      <c r="B893" s="9"/>
      <c r="C893" s="4"/>
      <c r="D893" s="5"/>
      <c r="E893" s="6"/>
    </row>
    <row r="894" spans="2:5" x14ac:dyDescent="0.2">
      <c r="B894" s="9"/>
      <c r="C894" s="4"/>
      <c r="D894" s="5"/>
      <c r="E894" s="6"/>
    </row>
    <row r="895" spans="2:5" x14ac:dyDescent="0.2">
      <c r="B895" s="9"/>
      <c r="C895" s="4"/>
      <c r="D895" s="5"/>
      <c r="E895" s="6"/>
    </row>
    <row r="896" spans="2:5" x14ac:dyDescent="0.2">
      <c r="B896" s="9"/>
      <c r="C896" s="4"/>
      <c r="D896" s="5"/>
      <c r="E896" s="6"/>
    </row>
    <row r="897" spans="2:5" x14ac:dyDescent="0.2">
      <c r="B897" s="9"/>
      <c r="C897" s="4"/>
      <c r="D897" s="5"/>
      <c r="E897" s="6"/>
    </row>
    <row r="898" spans="2:5" x14ac:dyDescent="0.2">
      <c r="B898" s="9"/>
      <c r="C898" s="4"/>
      <c r="D898" s="5"/>
      <c r="E898" s="6"/>
    </row>
    <row r="899" spans="2:5" x14ac:dyDescent="0.2">
      <c r="B899" s="9"/>
      <c r="C899" s="4"/>
      <c r="D899" s="5"/>
      <c r="E899" s="6"/>
    </row>
    <row r="900" spans="2:5" x14ac:dyDescent="0.2">
      <c r="B900" s="9"/>
      <c r="C900" s="4"/>
      <c r="D900" s="5"/>
      <c r="E900" s="6"/>
    </row>
    <row r="901" spans="2:5" x14ac:dyDescent="0.2">
      <c r="B901" s="9"/>
      <c r="C901" s="4"/>
      <c r="D901" s="5"/>
      <c r="E901" s="6"/>
    </row>
    <row r="902" spans="2:5" x14ac:dyDescent="0.2">
      <c r="B902" s="9"/>
      <c r="C902" s="4"/>
      <c r="D902" s="5"/>
      <c r="E902" s="6"/>
    </row>
    <row r="903" spans="2:5" x14ac:dyDescent="0.2">
      <c r="B903" s="9"/>
      <c r="C903" s="4"/>
      <c r="D903" s="5"/>
      <c r="E903" s="6"/>
    </row>
    <row r="904" spans="2:5" x14ac:dyDescent="0.2">
      <c r="B904" s="9"/>
      <c r="C904" s="4"/>
      <c r="D904" s="5"/>
      <c r="E904" s="6"/>
    </row>
    <row r="905" spans="2:5" x14ac:dyDescent="0.2">
      <c r="B905" s="9"/>
      <c r="C905" s="4"/>
      <c r="D905" s="5"/>
      <c r="E905" s="6"/>
    </row>
    <row r="906" spans="2:5" x14ac:dyDescent="0.2">
      <c r="B906" s="9"/>
      <c r="C906" s="4"/>
      <c r="D906" s="5"/>
      <c r="E906" s="6"/>
    </row>
    <row r="907" spans="2:5" x14ac:dyDescent="0.2">
      <c r="B907" s="9"/>
      <c r="C907" s="4"/>
      <c r="D907" s="5"/>
      <c r="E907" s="6"/>
    </row>
    <row r="908" spans="2:5" x14ac:dyDescent="0.2">
      <c r="B908" s="9"/>
      <c r="C908" s="4"/>
      <c r="D908" s="5"/>
      <c r="E908" s="6"/>
    </row>
    <row r="909" spans="2:5" x14ac:dyDescent="0.2">
      <c r="B909" s="9"/>
      <c r="C909" s="4"/>
      <c r="D909" s="5"/>
      <c r="E909" s="6"/>
    </row>
    <row r="910" spans="2:5" x14ac:dyDescent="0.2">
      <c r="B910" s="9"/>
      <c r="C910" s="4"/>
      <c r="D910" s="5"/>
      <c r="E910" s="6"/>
    </row>
    <row r="911" spans="2:5" x14ac:dyDescent="0.2">
      <c r="B911" s="9"/>
      <c r="C911" s="4"/>
      <c r="D911" s="5"/>
      <c r="E911" s="6"/>
    </row>
    <row r="912" spans="2:5" x14ac:dyDescent="0.2">
      <c r="B912" s="9"/>
      <c r="C912" s="4"/>
      <c r="D912" s="5"/>
      <c r="E912" s="6"/>
    </row>
    <row r="913" spans="2:5" x14ac:dyDescent="0.2">
      <c r="B913" s="9"/>
      <c r="C913" s="4"/>
      <c r="D913" s="5"/>
      <c r="E913" s="6"/>
    </row>
    <row r="914" spans="2:5" x14ac:dyDescent="0.2">
      <c r="B914" s="9"/>
      <c r="C914" s="4"/>
      <c r="D914" s="5"/>
      <c r="E914" s="6"/>
    </row>
  </sheetData>
  <conditionalFormatting sqref="B12:B914">
    <cfRule type="cellIs" dxfId="7" priority="1" stopIfTrue="1" operator="equal">
      <formula>"A"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2" sqref="E1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16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21.5" style="2" bestFit="1" customWidth="1"/>
    <col min="2" max="2" width="12.5" style="2" bestFit="1" customWidth="1"/>
    <col min="3" max="3" width="17.5" style="2" bestFit="1" customWidth="1"/>
    <col min="4" max="4" width="19.83203125" style="2" bestFit="1" customWidth="1"/>
    <col min="5" max="5" width="17.5" style="2" bestFit="1" customWidth="1"/>
    <col min="6" max="6" width="18.6640625" style="2" bestFit="1" customWidth="1"/>
    <col min="7" max="7" width="31.5" style="2" bestFit="1" customWidth="1"/>
    <col min="8" max="8" width="17.5" style="2" bestFit="1" customWidth="1"/>
    <col min="9" max="9" width="14.6640625" style="2" bestFit="1" customWidth="1"/>
    <col min="10" max="10" width="11.1640625" style="2" bestFit="1" customWidth="1"/>
    <col min="11" max="11" width="20.5" style="2" bestFit="1" customWidth="1"/>
    <col min="12" max="12" width="5" style="2" bestFit="1" customWidth="1"/>
    <col min="13" max="13" width="17.5" style="2" bestFit="1" customWidth="1"/>
    <col min="14" max="14" width="14.6640625" style="2" bestFit="1" customWidth="1"/>
    <col min="15" max="15" width="11.1640625" style="2" bestFit="1" customWidth="1"/>
    <col min="16" max="16384" width="8.83203125" style="2"/>
  </cols>
  <sheetData>
    <row r="1" spans="1:14" x14ac:dyDescent="0.2">
      <c r="A1" s="1"/>
      <c r="D1" s="13" t="s">
        <v>6</v>
      </c>
      <c r="G1" s="13" t="s">
        <v>20</v>
      </c>
    </row>
    <row r="2" spans="1:14" x14ac:dyDescent="0.2">
      <c r="A2" s="2" t="s">
        <v>0</v>
      </c>
      <c r="B2" s="3">
        <v>0.03</v>
      </c>
      <c r="D2" s="2" t="s">
        <v>16</v>
      </c>
      <c r="E2" s="4">
        <f>D11</f>
        <v>701.84027777777794</v>
      </c>
      <c r="G2" s="2" t="s">
        <v>16</v>
      </c>
      <c r="H2" s="14">
        <f t="shared" ref="H2:H8" si="0">E2/12</f>
        <v>58.486689814814831</v>
      </c>
    </row>
    <row r="3" spans="1:14" x14ac:dyDescent="0.2">
      <c r="A3" s="2" t="s">
        <v>1</v>
      </c>
      <c r="B3" s="5">
        <v>850000</v>
      </c>
      <c r="D3" s="2" t="s">
        <v>11</v>
      </c>
      <c r="E3" s="16">
        <f>C11</f>
        <v>16999.999999999996</v>
      </c>
      <c r="G3" s="2" t="s">
        <v>11</v>
      </c>
      <c r="H3" s="14">
        <f t="shared" si="0"/>
        <v>1416.6666666666663</v>
      </c>
    </row>
    <row r="4" spans="1:14" x14ac:dyDescent="0.2">
      <c r="A4" s="2" t="s">
        <v>2</v>
      </c>
      <c r="B4" s="2">
        <v>12</v>
      </c>
      <c r="D4" s="2" t="s">
        <v>21</v>
      </c>
      <c r="E4" s="4">
        <f>0.3*E2</f>
        <v>210.55208333333337</v>
      </c>
      <c r="G4" s="2" t="s">
        <v>21</v>
      </c>
      <c r="H4" s="14">
        <f t="shared" si="0"/>
        <v>17.546006944444446</v>
      </c>
    </row>
    <row r="5" spans="1:14" x14ac:dyDescent="0.2">
      <c r="A5" s="2" t="s">
        <v>3</v>
      </c>
      <c r="B5" s="2">
        <v>30</v>
      </c>
      <c r="D5" s="2" t="s">
        <v>19</v>
      </c>
      <c r="E5" s="16">
        <f>E2+E3-E4</f>
        <v>17491.288194444442</v>
      </c>
      <c r="G5" s="2" t="s">
        <v>19</v>
      </c>
      <c r="H5" s="14">
        <f t="shared" si="0"/>
        <v>1457.6073495370367</v>
      </c>
    </row>
    <row r="6" spans="1:14" x14ac:dyDescent="0.2">
      <c r="A6" s="2" t="s">
        <v>4</v>
      </c>
      <c r="B6" s="12">
        <f>B3*0.02</f>
        <v>17000</v>
      </c>
      <c r="D6" s="4" t="s">
        <v>17</v>
      </c>
      <c r="E6" s="2">
        <f>B4*1000</f>
        <v>12000</v>
      </c>
      <c r="G6" s="4" t="s">
        <v>17</v>
      </c>
      <c r="H6" s="14">
        <f t="shared" si="0"/>
        <v>1000</v>
      </c>
    </row>
    <row r="7" spans="1:14" x14ac:dyDescent="0.2">
      <c r="A7" s="2" t="s">
        <v>5</v>
      </c>
      <c r="B7" s="7">
        <f>B6/12</f>
        <v>1416.6666666666667</v>
      </c>
      <c r="D7" s="2" t="s">
        <v>18</v>
      </c>
      <c r="E7" s="2">
        <f>B4*2000</f>
        <v>24000</v>
      </c>
      <c r="G7" s="2" t="s">
        <v>18</v>
      </c>
      <c r="H7" s="14">
        <f t="shared" si="0"/>
        <v>2000</v>
      </c>
      <c r="J7" s="18"/>
      <c r="K7" s="18"/>
      <c r="L7" s="18"/>
      <c r="M7" s="18"/>
      <c r="N7" s="18"/>
    </row>
    <row r="8" spans="1:14" ht="17.25" customHeight="1" x14ac:dyDescent="0.2">
      <c r="B8" s="7"/>
      <c r="D8" s="2" t="s">
        <v>12</v>
      </c>
      <c r="E8" s="4">
        <f>E5+E6+E7</f>
        <v>53491.288194444438</v>
      </c>
      <c r="G8" s="2" t="s">
        <v>12</v>
      </c>
      <c r="H8" s="14">
        <f t="shared" si="0"/>
        <v>4457.6073495370365</v>
      </c>
      <c r="J8" s="8"/>
      <c r="K8" s="8"/>
      <c r="L8" s="8"/>
      <c r="M8" s="8"/>
      <c r="N8" s="8"/>
    </row>
    <row r="9" spans="1:14" ht="17.25" customHeight="1" x14ac:dyDescent="0.2">
      <c r="B9" s="7"/>
      <c r="J9" s="8"/>
      <c r="K9" s="8"/>
      <c r="L9" s="8"/>
      <c r="M9" s="8"/>
      <c r="N9" s="8"/>
    </row>
    <row r="10" spans="1:14" ht="17.25" customHeight="1" x14ac:dyDescent="0.2">
      <c r="B10" s="1" t="s">
        <v>0</v>
      </c>
      <c r="C10" s="1" t="s">
        <v>4</v>
      </c>
      <c r="D10" s="1" t="s">
        <v>13</v>
      </c>
      <c r="E10" s="1" t="s">
        <v>15</v>
      </c>
      <c r="G10" s="1"/>
      <c r="H10" s="16"/>
      <c r="J10" s="8"/>
      <c r="K10" s="8"/>
      <c r="L10" s="8"/>
      <c r="M10" s="8"/>
      <c r="N10" s="8"/>
    </row>
    <row r="11" spans="1:14" s="1" customFormat="1" ht="14.25" customHeight="1" x14ac:dyDescent="0.2">
      <c r="A11" s="1" t="s">
        <v>7</v>
      </c>
      <c r="B11" s="11">
        <v>0.01</v>
      </c>
      <c r="C11" s="14">
        <f>SUM($E$22:$E$33)</f>
        <v>16999.999999999996</v>
      </c>
      <c r="D11" s="14">
        <f>SUM(D22:D33)/12</f>
        <v>701.84027777777794</v>
      </c>
      <c r="E11" s="14">
        <f t="shared" ref="E11:E16" si="1">C11+D11</f>
        <v>17701.840277777774</v>
      </c>
      <c r="G11" s="2"/>
    </row>
    <row r="12" spans="1:14" x14ac:dyDescent="0.2">
      <c r="A12" s="2">
        <v>0</v>
      </c>
      <c r="B12" s="11">
        <v>0.02</v>
      </c>
      <c r="C12" s="14">
        <f t="shared" ref="C12:C16" si="2">SUM($E$22:$E$33)</f>
        <v>16999.999999999996</v>
      </c>
      <c r="D12" s="14">
        <f>SUM(I22:I33)/12</f>
        <v>1403.6805555555559</v>
      </c>
      <c r="E12" s="14">
        <f t="shared" si="1"/>
        <v>18403.680555555551</v>
      </c>
    </row>
    <row r="13" spans="1:14" x14ac:dyDescent="0.2">
      <c r="A13" s="2">
        <v>1</v>
      </c>
      <c r="B13" s="11">
        <v>0.03</v>
      </c>
      <c r="C13" s="14">
        <f t="shared" si="2"/>
        <v>16999.999999999996</v>
      </c>
      <c r="D13" s="14">
        <f>SUM(N22:N33)/12</f>
        <v>2105.5208333333339</v>
      </c>
      <c r="E13" s="14">
        <f t="shared" si="1"/>
        <v>19105.520833333328</v>
      </c>
    </row>
    <row r="14" spans="1:14" x14ac:dyDescent="0.2">
      <c r="A14" s="2">
        <v>2</v>
      </c>
      <c r="B14" s="11">
        <v>0.04</v>
      </c>
      <c r="C14" s="14">
        <f t="shared" si="2"/>
        <v>16999.999999999996</v>
      </c>
      <c r="D14" s="14">
        <f>SUM(D42:D53)/12</f>
        <v>2807.3611111111118</v>
      </c>
      <c r="E14" s="14">
        <f t="shared" si="1"/>
        <v>19807.361111111109</v>
      </c>
    </row>
    <row r="15" spans="1:14" x14ac:dyDescent="0.2">
      <c r="A15" s="2">
        <v>3</v>
      </c>
      <c r="B15" s="11">
        <v>0.05</v>
      </c>
      <c r="C15" s="14">
        <f t="shared" si="2"/>
        <v>16999.999999999996</v>
      </c>
      <c r="D15" s="14">
        <f>SUM(I42:I53)/12</f>
        <v>3509.2013888888891</v>
      </c>
      <c r="E15" s="14">
        <f t="shared" si="1"/>
        <v>20509.201388888887</v>
      </c>
    </row>
    <row r="16" spans="1:14" x14ac:dyDescent="0.2">
      <c r="A16" s="2">
        <v>4</v>
      </c>
      <c r="B16" s="11">
        <v>0.06</v>
      </c>
      <c r="C16" s="14">
        <f t="shared" si="2"/>
        <v>16999.999999999996</v>
      </c>
      <c r="D16" s="14">
        <f>SUM(N42:N53)/12</f>
        <v>4211.0416666666679</v>
      </c>
      <c r="E16" s="14">
        <f t="shared" si="1"/>
        <v>21211.041666666664</v>
      </c>
    </row>
    <row r="17" spans="1:15" x14ac:dyDescent="0.2">
      <c r="A17" s="2">
        <v>5</v>
      </c>
      <c r="B17" s="11"/>
      <c r="C17" s="14"/>
      <c r="D17" s="14"/>
      <c r="E17" s="11"/>
      <c r="F17" s="14"/>
    </row>
    <row r="18" spans="1:15" x14ac:dyDescent="0.2">
      <c r="A18" s="2">
        <v>6</v>
      </c>
      <c r="F18" s="10"/>
    </row>
    <row r="19" spans="1:15" x14ac:dyDescent="0.2">
      <c r="A19" s="2">
        <v>7</v>
      </c>
      <c r="B19" s="23" t="s">
        <v>22</v>
      </c>
      <c r="C19" s="23"/>
      <c r="D19" s="23"/>
      <c r="E19" s="23"/>
      <c r="F19" s="10"/>
      <c r="G19" s="23" t="s">
        <v>23</v>
      </c>
      <c r="H19" s="23"/>
      <c r="I19" s="23"/>
      <c r="J19" s="23"/>
      <c r="K19" s="14"/>
      <c r="L19" s="23" t="s">
        <v>25</v>
      </c>
      <c r="M19" s="23"/>
      <c r="N19" s="23"/>
      <c r="O19" s="23"/>
    </row>
    <row r="20" spans="1:15" x14ac:dyDescent="0.2">
      <c r="B20" s="20">
        <v>0.01</v>
      </c>
      <c r="C20" s="20"/>
      <c r="D20" s="20"/>
      <c r="E20" s="20"/>
      <c r="F20" s="10"/>
      <c r="G20" s="19">
        <v>0.02</v>
      </c>
      <c r="H20" s="19"/>
      <c r="I20" s="19"/>
      <c r="J20" s="19"/>
      <c r="K20" s="14"/>
      <c r="L20" s="19">
        <v>0.03</v>
      </c>
      <c r="M20" s="19"/>
      <c r="N20" s="19"/>
      <c r="O20" s="19"/>
    </row>
    <row r="21" spans="1:15" x14ac:dyDescent="0.2">
      <c r="A21" s="2">
        <v>8</v>
      </c>
      <c r="B21" s="1" t="s">
        <v>8</v>
      </c>
      <c r="C21" s="1" t="s">
        <v>9</v>
      </c>
      <c r="D21" s="1" t="s">
        <v>10</v>
      </c>
      <c r="E21" s="1" t="s">
        <v>11</v>
      </c>
      <c r="F21" s="10"/>
      <c r="G21" s="1" t="s">
        <v>8</v>
      </c>
      <c r="H21" s="1" t="s">
        <v>9</v>
      </c>
      <c r="I21" s="1" t="s">
        <v>10</v>
      </c>
      <c r="J21" s="1" t="s">
        <v>11</v>
      </c>
      <c r="K21" s="14"/>
      <c r="L21" s="1" t="s">
        <v>8</v>
      </c>
      <c r="M21" s="1" t="s">
        <v>9</v>
      </c>
      <c r="N21" s="1" t="s">
        <v>10</v>
      </c>
      <c r="O21" s="1" t="s">
        <v>11</v>
      </c>
    </row>
    <row r="22" spans="1:15" x14ac:dyDescent="0.2">
      <c r="A22" s="2">
        <v>9</v>
      </c>
      <c r="B22" s="9">
        <f t="shared" ref="B22:B29" si="3">ROUNDDOWN(A12/$B$4,0)</f>
        <v>0</v>
      </c>
      <c r="C22" s="4">
        <f>$B$3</f>
        <v>850000</v>
      </c>
      <c r="D22" s="5">
        <f>B$20*C22/$B$4</f>
        <v>708.33333333333337</v>
      </c>
      <c r="E22" s="17">
        <f>$B$7</f>
        <v>1416.6666666666667</v>
      </c>
      <c r="F22" s="10"/>
      <c r="G22" s="9">
        <f>ROUNDDOWN(E12/$B$4,0)</f>
        <v>1533</v>
      </c>
      <c r="H22" s="4">
        <f>$B$3</f>
        <v>850000</v>
      </c>
      <c r="I22" s="5">
        <f>G$20*H22/$B$4</f>
        <v>1416.6666666666667</v>
      </c>
      <c r="J22" s="17">
        <f>$B$7</f>
        <v>1416.6666666666667</v>
      </c>
      <c r="K22" s="14"/>
      <c r="L22" s="9">
        <f t="shared" ref="L22:L29" si="4">ROUNDDOWN(K12/$B$4,0)</f>
        <v>0</v>
      </c>
      <c r="M22" s="4">
        <f>$B$3</f>
        <v>850000</v>
      </c>
      <c r="N22" s="5">
        <f>L$20*M22/$B$4</f>
        <v>2125</v>
      </c>
      <c r="O22" s="17">
        <f>$B$7</f>
        <v>1416.6666666666667</v>
      </c>
    </row>
    <row r="23" spans="1:15" x14ac:dyDescent="0.2">
      <c r="A23" s="2">
        <v>10</v>
      </c>
      <c r="B23" s="9">
        <f t="shared" si="3"/>
        <v>0</v>
      </c>
      <c r="C23" s="4">
        <f t="shared" ref="C23:C33" si="5">C22-E22</f>
        <v>848583.33333333337</v>
      </c>
      <c r="D23" s="5">
        <f t="shared" ref="D23:D33" si="6">B$20*C23/$B$4</f>
        <v>707.15277777777783</v>
      </c>
      <c r="E23" s="6">
        <f t="shared" ref="E23:E33" si="7">$B$7</f>
        <v>1416.6666666666667</v>
      </c>
      <c r="F23" s="10"/>
      <c r="G23" s="9">
        <f>ROUNDDOWN(E13/$B$4,0)</f>
        <v>1592</v>
      </c>
      <c r="H23" s="4">
        <f t="shared" ref="H23:H33" si="8">H22-J22</f>
        <v>848583.33333333337</v>
      </c>
      <c r="I23" s="5">
        <f t="shared" ref="I23:I33" si="9">G$20*H23/$B$4</f>
        <v>1414.3055555555557</v>
      </c>
      <c r="J23" s="6">
        <f t="shared" ref="J23:J33" si="10">$B$7</f>
        <v>1416.6666666666667</v>
      </c>
      <c r="K23" s="14"/>
      <c r="L23" s="9">
        <f t="shared" si="4"/>
        <v>0</v>
      </c>
      <c r="M23" s="4">
        <f t="shared" ref="M23:M33" si="11">M22-O22</f>
        <v>848583.33333333337</v>
      </c>
      <c r="N23" s="5">
        <f t="shared" ref="N23:N33" si="12">L$20*M23/$B$4</f>
        <v>2121.4583333333335</v>
      </c>
      <c r="O23" s="6">
        <f t="shared" ref="O23:O33" si="13">$B$7</f>
        <v>1416.6666666666667</v>
      </c>
    </row>
    <row r="24" spans="1:15" x14ac:dyDescent="0.2">
      <c r="A24" s="2">
        <v>11</v>
      </c>
      <c r="B24" s="9">
        <f t="shared" si="3"/>
        <v>0</v>
      </c>
      <c r="C24" s="4">
        <f t="shared" si="5"/>
        <v>847166.66666666674</v>
      </c>
      <c r="D24" s="5">
        <f t="shared" si="6"/>
        <v>705.97222222222229</v>
      </c>
      <c r="E24" s="6">
        <f t="shared" si="7"/>
        <v>1416.6666666666667</v>
      </c>
      <c r="F24" s="10"/>
      <c r="G24" s="9">
        <f>ROUNDDOWN(E14/$B$4,0)</f>
        <v>1650</v>
      </c>
      <c r="H24" s="4">
        <f t="shared" si="8"/>
        <v>847166.66666666674</v>
      </c>
      <c r="I24" s="5">
        <f t="shared" si="9"/>
        <v>1411.9444444444446</v>
      </c>
      <c r="J24" s="6">
        <f t="shared" si="10"/>
        <v>1416.6666666666667</v>
      </c>
      <c r="K24" s="14"/>
      <c r="L24" s="9">
        <f t="shared" si="4"/>
        <v>0</v>
      </c>
      <c r="M24" s="4">
        <f t="shared" si="11"/>
        <v>847166.66666666674</v>
      </c>
      <c r="N24" s="5">
        <f t="shared" si="12"/>
        <v>2117.9166666666665</v>
      </c>
      <c r="O24" s="6">
        <f t="shared" si="13"/>
        <v>1416.6666666666667</v>
      </c>
    </row>
    <row r="25" spans="1:15" x14ac:dyDescent="0.2">
      <c r="A25" s="2">
        <v>12</v>
      </c>
      <c r="B25" s="9">
        <f t="shared" si="3"/>
        <v>0</v>
      </c>
      <c r="C25" s="4">
        <f t="shared" si="5"/>
        <v>845750.00000000012</v>
      </c>
      <c r="D25" s="5">
        <f t="shared" si="6"/>
        <v>704.79166666666686</v>
      </c>
      <c r="E25" s="6">
        <f t="shared" si="7"/>
        <v>1416.6666666666667</v>
      </c>
      <c r="F25" s="10"/>
      <c r="G25" s="9">
        <f>ROUNDDOWN(E15/$B$4,0)</f>
        <v>1709</v>
      </c>
      <c r="H25" s="4">
        <f t="shared" si="8"/>
        <v>845750.00000000012</v>
      </c>
      <c r="I25" s="5">
        <f t="shared" si="9"/>
        <v>1409.5833333333337</v>
      </c>
      <c r="J25" s="6">
        <f t="shared" si="10"/>
        <v>1416.6666666666667</v>
      </c>
      <c r="K25" s="14"/>
      <c r="L25" s="9">
        <f t="shared" si="4"/>
        <v>0</v>
      </c>
      <c r="M25" s="4">
        <f t="shared" si="11"/>
        <v>845750.00000000012</v>
      </c>
      <c r="N25" s="5">
        <f t="shared" si="12"/>
        <v>2114.3750000000005</v>
      </c>
      <c r="O25" s="6">
        <f t="shared" si="13"/>
        <v>1416.6666666666667</v>
      </c>
    </row>
    <row r="26" spans="1:15" x14ac:dyDescent="0.2">
      <c r="A26" s="2">
        <v>13</v>
      </c>
      <c r="B26" s="9">
        <f t="shared" si="3"/>
        <v>0</v>
      </c>
      <c r="C26" s="4">
        <f t="shared" si="5"/>
        <v>844333.33333333349</v>
      </c>
      <c r="D26" s="5">
        <f t="shared" si="6"/>
        <v>703.61111111111131</v>
      </c>
      <c r="E26" s="6">
        <f t="shared" si="7"/>
        <v>1416.6666666666667</v>
      </c>
      <c r="F26" s="10"/>
      <c r="G26" s="9">
        <f>ROUNDDOWN(E16/$B$4,0)</f>
        <v>1767</v>
      </c>
      <c r="H26" s="4">
        <f t="shared" si="8"/>
        <v>844333.33333333349</v>
      </c>
      <c r="I26" s="5">
        <f t="shared" si="9"/>
        <v>1407.2222222222226</v>
      </c>
      <c r="J26" s="6">
        <f t="shared" si="10"/>
        <v>1416.6666666666667</v>
      </c>
      <c r="K26" s="14"/>
      <c r="L26" s="9">
        <f t="shared" si="4"/>
        <v>0</v>
      </c>
      <c r="M26" s="4">
        <f t="shared" si="11"/>
        <v>844333.33333333349</v>
      </c>
      <c r="N26" s="5">
        <f t="shared" si="12"/>
        <v>2110.8333333333335</v>
      </c>
      <c r="O26" s="6">
        <f t="shared" si="13"/>
        <v>1416.6666666666667</v>
      </c>
    </row>
    <row r="27" spans="1:15" x14ac:dyDescent="0.2">
      <c r="A27" s="2">
        <v>14</v>
      </c>
      <c r="B27" s="9">
        <f t="shared" si="3"/>
        <v>0</v>
      </c>
      <c r="C27" s="4">
        <f t="shared" si="5"/>
        <v>842916.66666666686</v>
      </c>
      <c r="D27" s="5">
        <f t="shared" si="6"/>
        <v>702.43055555555566</v>
      </c>
      <c r="E27" s="6">
        <f t="shared" si="7"/>
        <v>1416.6666666666667</v>
      </c>
      <c r="F27" s="10"/>
      <c r="G27" s="9">
        <f>ROUNDDOWN(F17/$B$4,0)</f>
        <v>0</v>
      </c>
      <c r="H27" s="4">
        <f t="shared" si="8"/>
        <v>842916.66666666686</v>
      </c>
      <c r="I27" s="5">
        <f t="shared" si="9"/>
        <v>1404.8611111111113</v>
      </c>
      <c r="J27" s="6">
        <f t="shared" si="10"/>
        <v>1416.6666666666667</v>
      </c>
      <c r="K27" s="14"/>
      <c r="L27" s="9">
        <f t="shared" si="4"/>
        <v>0</v>
      </c>
      <c r="M27" s="4">
        <f t="shared" si="11"/>
        <v>842916.66666666686</v>
      </c>
      <c r="N27" s="5">
        <f t="shared" si="12"/>
        <v>2107.291666666667</v>
      </c>
      <c r="O27" s="6">
        <f t="shared" si="13"/>
        <v>1416.6666666666667</v>
      </c>
    </row>
    <row r="28" spans="1:15" x14ac:dyDescent="0.2">
      <c r="A28" s="2">
        <v>15</v>
      </c>
      <c r="B28" s="9">
        <f t="shared" si="3"/>
        <v>0</v>
      </c>
      <c r="C28" s="4">
        <f t="shared" si="5"/>
        <v>841500.00000000023</v>
      </c>
      <c r="D28" s="5">
        <f t="shared" si="6"/>
        <v>701.25000000000011</v>
      </c>
      <c r="E28" s="6">
        <f t="shared" si="7"/>
        <v>1416.6666666666667</v>
      </c>
      <c r="F28" s="10"/>
      <c r="G28" s="9">
        <f>ROUNDDOWN(F18/$B$4,0)</f>
        <v>0</v>
      </c>
      <c r="H28" s="4">
        <f t="shared" si="8"/>
        <v>841500.00000000023</v>
      </c>
      <c r="I28" s="5">
        <f t="shared" si="9"/>
        <v>1402.5000000000002</v>
      </c>
      <c r="J28" s="6">
        <f t="shared" si="10"/>
        <v>1416.6666666666667</v>
      </c>
      <c r="K28" s="14"/>
      <c r="L28" s="9">
        <f t="shared" si="4"/>
        <v>0</v>
      </c>
      <c r="M28" s="4">
        <f t="shared" si="11"/>
        <v>841500.00000000023</v>
      </c>
      <c r="N28" s="5">
        <f t="shared" si="12"/>
        <v>2103.7500000000005</v>
      </c>
      <c r="O28" s="6">
        <f t="shared" si="13"/>
        <v>1416.6666666666667</v>
      </c>
    </row>
    <row r="29" spans="1:15" x14ac:dyDescent="0.2">
      <c r="A29" s="2">
        <v>16</v>
      </c>
      <c r="B29" s="9">
        <f t="shared" si="3"/>
        <v>0</v>
      </c>
      <c r="C29" s="4">
        <f t="shared" si="5"/>
        <v>840083.3333333336</v>
      </c>
      <c r="D29" s="5">
        <f t="shared" si="6"/>
        <v>700.06944444444468</v>
      </c>
      <c r="E29" s="6">
        <f t="shared" si="7"/>
        <v>1416.6666666666667</v>
      </c>
      <c r="F29" s="10"/>
      <c r="G29" s="9">
        <f>ROUNDDOWN(F19/$B$4,0)</f>
        <v>0</v>
      </c>
      <c r="H29" s="4">
        <f t="shared" si="8"/>
        <v>840083.3333333336</v>
      </c>
      <c r="I29" s="5">
        <f t="shared" si="9"/>
        <v>1400.1388888888894</v>
      </c>
      <c r="J29" s="6">
        <f t="shared" si="10"/>
        <v>1416.6666666666667</v>
      </c>
      <c r="K29" s="14"/>
      <c r="L29" s="9">
        <f t="shared" si="4"/>
        <v>0</v>
      </c>
      <c r="M29" s="4">
        <f t="shared" si="11"/>
        <v>840083.3333333336</v>
      </c>
      <c r="N29" s="5">
        <f t="shared" si="12"/>
        <v>2100.2083333333339</v>
      </c>
      <c r="O29" s="6">
        <f t="shared" si="13"/>
        <v>1416.6666666666667</v>
      </c>
    </row>
    <row r="30" spans="1:15" x14ac:dyDescent="0.2">
      <c r="A30" s="2">
        <v>17</v>
      </c>
      <c r="B30" s="9">
        <f>ROUNDDOWN(A21/$B$4,0)</f>
        <v>0</v>
      </c>
      <c r="C30" s="4">
        <f t="shared" si="5"/>
        <v>838666.66666666698</v>
      </c>
      <c r="D30" s="5">
        <f t="shared" si="6"/>
        <v>698.88888888888914</v>
      </c>
      <c r="E30" s="6">
        <f t="shared" si="7"/>
        <v>1416.6666666666667</v>
      </c>
      <c r="G30" s="9">
        <f>ROUNDDOWN(F21/$B$4,0)</f>
        <v>0</v>
      </c>
      <c r="H30" s="4">
        <f t="shared" si="8"/>
        <v>838666.66666666698</v>
      </c>
      <c r="I30" s="5">
        <f t="shared" si="9"/>
        <v>1397.7777777777783</v>
      </c>
      <c r="J30" s="6">
        <f t="shared" si="10"/>
        <v>1416.6666666666667</v>
      </c>
      <c r="K30" s="14"/>
      <c r="L30" s="9">
        <f>ROUNDDOWN(K21/$B$4,0)</f>
        <v>0</v>
      </c>
      <c r="M30" s="4">
        <f t="shared" si="11"/>
        <v>838666.66666666698</v>
      </c>
      <c r="N30" s="5">
        <f t="shared" si="12"/>
        <v>2096.6666666666674</v>
      </c>
      <c r="O30" s="6">
        <f t="shared" si="13"/>
        <v>1416.6666666666667</v>
      </c>
    </row>
    <row r="31" spans="1:15" x14ac:dyDescent="0.2">
      <c r="A31" s="2">
        <v>18</v>
      </c>
      <c r="B31" s="9">
        <f>ROUNDDOWN(A22/$B$4,0)</f>
        <v>0</v>
      </c>
      <c r="C31" s="4">
        <f t="shared" si="5"/>
        <v>837250.00000000035</v>
      </c>
      <c r="D31" s="5">
        <f t="shared" si="6"/>
        <v>697.7083333333336</v>
      </c>
      <c r="E31" s="6">
        <f t="shared" si="7"/>
        <v>1416.6666666666667</v>
      </c>
      <c r="G31" s="9">
        <f>ROUNDDOWN(F22/$B$4,0)</f>
        <v>0</v>
      </c>
      <c r="H31" s="4">
        <f t="shared" si="8"/>
        <v>837250.00000000035</v>
      </c>
      <c r="I31" s="5">
        <f t="shared" si="9"/>
        <v>1395.4166666666672</v>
      </c>
      <c r="J31" s="6">
        <f t="shared" si="10"/>
        <v>1416.6666666666667</v>
      </c>
      <c r="K31" s="14"/>
      <c r="L31" s="9">
        <f>ROUNDDOWN(K22/$B$4,0)</f>
        <v>0</v>
      </c>
      <c r="M31" s="4">
        <f t="shared" si="11"/>
        <v>837250.00000000035</v>
      </c>
      <c r="N31" s="5">
        <f t="shared" si="12"/>
        <v>2093.1250000000009</v>
      </c>
      <c r="O31" s="6">
        <f t="shared" si="13"/>
        <v>1416.6666666666667</v>
      </c>
    </row>
    <row r="32" spans="1:15" x14ac:dyDescent="0.2">
      <c r="A32" s="2">
        <v>19</v>
      </c>
      <c r="B32" s="9">
        <f>ROUNDDOWN(A23/$B$4,0)</f>
        <v>0</v>
      </c>
      <c r="C32" s="4">
        <f t="shared" si="5"/>
        <v>835833.33333333372</v>
      </c>
      <c r="D32" s="5">
        <f t="shared" si="6"/>
        <v>696.52777777777817</v>
      </c>
      <c r="E32" s="6">
        <f t="shared" si="7"/>
        <v>1416.6666666666667</v>
      </c>
      <c r="G32" s="9">
        <f>ROUNDDOWN(F23/$B$4,0)</f>
        <v>0</v>
      </c>
      <c r="H32" s="4">
        <f t="shared" si="8"/>
        <v>835833.33333333372</v>
      </c>
      <c r="I32" s="5">
        <f t="shared" si="9"/>
        <v>1393.0555555555563</v>
      </c>
      <c r="J32" s="6">
        <f t="shared" si="10"/>
        <v>1416.6666666666667</v>
      </c>
      <c r="K32" s="14"/>
      <c r="L32" s="9">
        <f>ROUNDDOWN(K23/$B$4,0)</f>
        <v>0</v>
      </c>
      <c r="M32" s="4">
        <f t="shared" si="11"/>
        <v>835833.33333333372</v>
      </c>
      <c r="N32" s="5">
        <f t="shared" si="12"/>
        <v>2089.5833333333344</v>
      </c>
      <c r="O32" s="6">
        <f t="shared" si="13"/>
        <v>1416.6666666666667</v>
      </c>
    </row>
    <row r="33" spans="1:15" x14ac:dyDescent="0.2">
      <c r="A33" s="2">
        <v>20</v>
      </c>
      <c r="B33" s="9">
        <f>ROUNDDOWN(A24/$B$4,0)</f>
        <v>0</v>
      </c>
      <c r="C33" s="4">
        <f t="shared" si="5"/>
        <v>834416.66666666709</v>
      </c>
      <c r="D33" s="5">
        <f t="shared" si="6"/>
        <v>695.34722222222263</v>
      </c>
      <c r="E33" s="6">
        <f t="shared" si="7"/>
        <v>1416.6666666666667</v>
      </c>
      <c r="G33" s="9">
        <f>ROUNDDOWN(F24/$B$4,0)</f>
        <v>0</v>
      </c>
      <c r="H33" s="4">
        <f t="shared" si="8"/>
        <v>834416.66666666709</v>
      </c>
      <c r="I33" s="5">
        <f t="shared" si="9"/>
        <v>1390.6944444444453</v>
      </c>
      <c r="J33" s="6">
        <f t="shared" si="10"/>
        <v>1416.6666666666667</v>
      </c>
      <c r="K33" s="14"/>
      <c r="L33" s="9">
        <f>ROUNDDOWN(K24/$B$4,0)</f>
        <v>0</v>
      </c>
      <c r="M33" s="4">
        <f t="shared" si="11"/>
        <v>834416.66666666709</v>
      </c>
      <c r="N33" s="5">
        <f t="shared" si="12"/>
        <v>2086.0416666666674</v>
      </c>
      <c r="O33" s="6">
        <f t="shared" si="13"/>
        <v>1416.6666666666667</v>
      </c>
    </row>
    <row r="34" spans="1:15" x14ac:dyDescent="0.2">
      <c r="A34" s="2">
        <v>21</v>
      </c>
      <c r="B34" s="9"/>
      <c r="H34" s="14"/>
      <c r="I34" s="14"/>
      <c r="J34" s="11"/>
      <c r="K34" s="14"/>
    </row>
    <row r="35" spans="1:15" x14ac:dyDescent="0.2">
      <c r="A35" s="2">
        <v>22</v>
      </c>
      <c r="B35" s="9"/>
      <c r="H35" s="14"/>
      <c r="I35" s="14"/>
      <c r="J35" s="11"/>
      <c r="K35" s="14"/>
    </row>
    <row r="36" spans="1:15" x14ac:dyDescent="0.2">
      <c r="A36" s="2">
        <v>23</v>
      </c>
      <c r="B36" s="9"/>
      <c r="H36" s="14"/>
      <c r="I36" s="14"/>
      <c r="J36" s="11"/>
      <c r="K36" s="14"/>
    </row>
    <row r="37" spans="1:15" x14ac:dyDescent="0.2">
      <c r="A37" s="2">
        <v>24</v>
      </c>
      <c r="B37" s="9"/>
      <c r="H37" s="14"/>
      <c r="I37" s="14"/>
      <c r="J37" s="11"/>
      <c r="K37" s="14"/>
    </row>
    <row r="38" spans="1:15" x14ac:dyDescent="0.2">
      <c r="A38" s="2">
        <v>25</v>
      </c>
      <c r="B38" s="9"/>
      <c r="H38" s="14"/>
      <c r="I38" s="14"/>
      <c r="J38" s="11"/>
      <c r="K38" s="14"/>
    </row>
    <row r="39" spans="1:15" x14ac:dyDescent="0.2">
      <c r="A39" s="2">
        <v>26</v>
      </c>
      <c r="B39" s="23" t="s">
        <v>26</v>
      </c>
      <c r="C39" s="23"/>
      <c r="D39" s="23"/>
      <c r="E39" s="23"/>
      <c r="F39" s="10"/>
      <c r="G39" s="23" t="s">
        <v>27</v>
      </c>
      <c r="H39" s="23"/>
      <c r="I39" s="23"/>
      <c r="J39" s="23"/>
      <c r="K39" s="14"/>
      <c r="L39" s="23" t="s">
        <v>24</v>
      </c>
      <c r="M39" s="23"/>
      <c r="N39" s="23"/>
      <c r="O39" s="23"/>
    </row>
    <row r="40" spans="1:15" x14ac:dyDescent="0.2">
      <c r="B40">
        <v>0.04</v>
      </c>
      <c r="C40"/>
      <c r="D40"/>
      <c r="E40"/>
      <c r="F40" s="10"/>
      <c r="G40">
        <v>0.05</v>
      </c>
      <c r="H40"/>
      <c r="I40"/>
      <c r="J40"/>
      <c r="K40" s="14"/>
      <c r="L40">
        <v>0.06</v>
      </c>
      <c r="M40"/>
      <c r="N40"/>
      <c r="O40"/>
    </row>
    <row r="41" spans="1:15" x14ac:dyDescent="0.2">
      <c r="A41" s="2">
        <v>27</v>
      </c>
      <c r="B41" s="1" t="s">
        <v>8</v>
      </c>
      <c r="C41" s="1" t="s">
        <v>9</v>
      </c>
      <c r="D41" s="1" t="s">
        <v>10</v>
      </c>
      <c r="E41" s="1" t="s">
        <v>11</v>
      </c>
      <c r="F41" s="10"/>
      <c r="G41" s="1" t="s">
        <v>8</v>
      </c>
      <c r="H41" s="1" t="s">
        <v>9</v>
      </c>
      <c r="I41" s="1" t="s">
        <v>10</v>
      </c>
      <c r="J41" s="1" t="s">
        <v>11</v>
      </c>
      <c r="K41" s="14"/>
      <c r="L41" s="1" t="s">
        <v>8</v>
      </c>
      <c r="M41" s="1" t="s">
        <v>9</v>
      </c>
      <c r="N41" s="1" t="s">
        <v>10</v>
      </c>
      <c r="O41" s="1" t="s">
        <v>11</v>
      </c>
    </row>
    <row r="42" spans="1:15" x14ac:dyDescent="0.2">
      <c r="A42" s="2">
        <v>28</v>
      </c>
      <c r="B42" s="9">
        <f t="shared" ref="B42:B49" si="14">ROUNDDOWN(A32/$B$4,0)</f>
        <v>1</v>
      </c>
      <c r="C42" s="4">
        <f>$B$3</f>
        <v>850000</v>
      </c>
      <c r="D42" s="5">
        <f>B$40*C42/$B$4</f>
        <v>2833.3333333333335</v>
      </c>
      <c r="E42" s="17">
        <f>$B$7</f>
        <v>1416.6666666666667</v>
      </c>
      <c r="F42" s="10"/>
      <c r="G42" s="9">
        <f t="shared" ref="G42:G49" si="15">ROUNDDOWN(F32/$B$4,0)</f>
        <v>0</v>
      </c>
      <c r="H42" s="4">
        <f>$B$3</f>
        <v>850000</v>
      </c>
      <c r="I42" s="5">
        <f>G$40*H42/$B$4</f>
        <v>3541.6666666666665</v>
      </c>
      <c r="J42" s="17">
        <f>$B$7</f>
        <v>1416.6666666666667</v>
      </c>
      <c r="K42" s="14"/>
      <c r="L42" s="9">
        <f t="shared" ref="L42:L49" si="16">ROUNDDOWN(K32/$B$4,0)</f>
        <v>0</v>
      </c>
      <c r="M42" s="4">
        <f>$B$3</f>
        <v>850000</v>
      </c>
      <c r="N42" s="5">
        <f>L$40*M42/$B$4</f>
        <v>4250</v>
      </c>
      <c r="O42" s="17">
        <f>$B$7</f>
        <v>1416.6666666666667</v>
      </c>
    </row>
    <row r="43" spans="1:15" x14ac:dyDescent="0.2">
      <c r="A43" s="2">
        <v>29</v>
      </c>
      <c r="B43" s="9">
        <f t="shared" si="14"/>
        <v>1</v>
      </c>
      <c r="C43" s="4">
        <f t="shared" ref="C43:C53" si="17">C42-E42</f>
        <v>848583.33333333337</v>
      </c>
      <c r="D43" s="5">
        <f t="shared" ref="D43:D53" si="18">B$40*C43/$B$4</f>
        <v>2828.6111111111113</v>
      </c>
      <c r="E43" s="6">
        <f t="shared" ref="E43:E53" si="19">$B$7</f>
        <v>1416.6666666666667</v>
      </c>
      <c r="F43" s="10"/>
      <c r="G43" s="9">
        <f t="shared" si="15"/>
        <v>0</v>
      </c>
      <c r="H43" s="4">
        <f t="shared" ref="H43:H53" si="20">H42-J42</f>
        <v>848583.33333333337</v>
      </c>
      <c r="I43" s="5">
        <f t="shared" ref="I43:I53" si="21">G$40*H43/$B$4</f>
        <v>3535.7638888888891</v>
      </c>
      <c r="J43" s="6">
        <f t="shared" ref="J43:J53" si="22">$B$7</f>
        <v>1416.6666666666667</v>
      </c>
      <c r="K43" s="14"/>
      <c r="L43" s="9">
        <f t="shared" si="16"/>
        <v>0</v>
      </c>
      <c r="M43" s="4">
        <f t="shared" ref="M43:M53" si="23">M42-O42</f>
        <v>848583.33333333337</v>
      </c>
      <c r="N43" s="5">
        <f t="shared" ref="N43:N53" si="24">L$40*M43/$B$4</f>
        <v>4242.916666666667</v>
      </c>
      <c r="O43" s="6">
        <f t="shared" ref="O43:O53" si="25">$B$7</f>
        <v>1416.6666666666667</v>
      </c>
    </row>
    <row r="44" spans="1:15" x14ac:dyDescent="0.2">
      <c r="A44" s="2">
        <v>30</v>
      </c>
      <c r="B44" s="9">
        <f t="shared" si="14"/>
        <v>1</v>
      </c>
      <c r="C44" s="4">
        <f t="shared" si="17"/>
        <v>847166.66666666674</v>
      </c>
      <c r="D44" s="5">
        <f t="shared" si="18"/>
        <v>2823.8888888888891</v>
      </c>
      <c r="E44" s="6">
        <f t="shared" si="19"/>
        <v>1416.6666666666667</v>
      </c>
      <c r="F44" s="10"/>
      <c r="G44" s="9">
        <f t="shared" si="15"/>
        <v>0</v>
      </c>
      <c r="H44" s="4">
        <f t="shared" si="20"/>
        <v>847166.66666666674</v>
      </c>
      <c r="I44" s="5">
        <f t="shared" si="21"/>
        <v>3529.8611111111118</v>
      </c>
      <c r="J44" s="6">
        <f t="shared" si="22"/>
        <v>1416.6666666666667</v>
      </c>
      <c r="K44" s="14"/>
      <c r="L44" s="9">
        <f t="shared" si="16"/>
        <v>0</v>
      </c>
      <c r="M44" s="4">
        <f t="shared" si="23"/>
        <v>847166.66666666674</v>
      </c>
      <c r="N44" s="5">
        <f t="shared" si="24"/>
        <v>4235.833333333333</v>
      </c>
      <c r="O44" s="6">
        <f t="shared" si="25"/>
        <v>1416.6666666666667</v>
      </c>
    </row>
    <row r="45" spans="1:15" x14ac:dyDescent="0.2">
      <c r="A45" s="2">
        <v>31</v>
      </c>
      <c r="B45" s="9">
        <f t="shared" si="14"/>
        <v>1</v>
      </c>
      <c r="C45" s="4">
        <f t="shared" si="17"/>
        <v>845750.00000000012</v>
      </c>
      <c r="D45" s="5">
        <f t="shared" si="18"/>
        <v>2819.1666666666674</v>
      </c>
      <c r="E45" s="6">
        <f t="shared" si="19"/>
        <v>1416.6666666666667</v>
      </c>
      <c r="F45" s="10"/>
      <c r="G45" s="9">
        <f t="shared" si="15"/>
        <v>0</v>
      </c>
      <c r="H45" s="4">
        <f t="shared" si="20"/>
        <v>845750.00000000012</v>
      </c>
      <c r="I45" s="5">
        <f t="shared" si="21"/>
        <v>3523.9583333333339</v>
      </c>
      <c r="J45" s="6">
        <f t="shared" si="22"/>
        <v>1416.6666666666667</v>
      </c>
      <c r="K45" s="14"/>
      <c r="L45" s="9">
        <f t="shared" si="16"/>
        <v>0</v>
      </c>
      <c r="M45" s="4">
        <f t="shared" si="23"/>
        <v>845750.00000000012</v>
      </c>
      <c r="N45" s="5">
        <f t="shared" si="24"/>
        <v>4228.7500000000009</v>
      </c>
      <c r="O45" s="6">
        <f t="shared" si="25"/>
        <v>1416.6666666666667</v>
      </c>
    </row>
    <row r="46" spans="1:15" x14ac:dyDescent="0.2">
      <c r="A46" s="2">
        <v>32</v>
      </c>
      <c r="B46" s="9">
        <f t="shared" si="14"/>
        <v>1</v>
      </c>
      <c r="C46" s="4">
        <f t="shared" si="17"/>
        <v>844333.33333333349</v>
      </c>
      <c r="D46" s="5">
        <f t="shared" si="18"/>
        <v>2814.4444444444453</v>
      </c>
      <c r="E46" s="6">
        <f t="shared" si="19"/>
        <v>1416.6666666666667</v>
      </c>
      <c r="F46" s="10"/>
      <c r="G46" s="9">
        <f t="shared" si="15"/>
        <v>0</v>
      </c>
      <c r="H46" s="4">
        <f t="shared" si="20"/>
        <v>844333.33333333349</v>
      </c>
      <c r="I46" s="5">
        <f t="shared" si="21"/>
        <v>3518.0555555555566</v>
      </c>
      <c r="J46" s="6">
        <f t="shared" si="22"/>
        <v>1416.6666666666667</v>
      </c>
      <c r="K46" s="14"/>
      <c r="L46" s="9">
        <f t="shared" si="16"/>
        <v>0</v>
      </c>
      <c r="M46" s="4">
        <f t="shared" si="23"/>
        <v>844333.33333333349</v>
      </c>
      <c r="N46" s="5">
        <f t="shared" si="24"/>
        <v>4221.666666666667</v>
      </c>
      <c r="O46" s="6">
        <f t="shared" si="25"/>
        <v>1416.6666666666667</v>
      </c>
    </row>
    <row r="47" spans="1:15" x14ac:dyDescent="0.2">
      <c r="A47" s="2">
        <v>33</v>
      </c>
      <c r="B47" s="9">
        <f t="shared" si="14"/>
        <v>2</v>
      </c>
      <c r="C47" s="4">
        <f t="shared" si="17"/>
        <v>842916.66666666686</v>
      </c>
      <c r="D47" s="5">
        <f t="shared" si="18"/>
        <v>2809.7222222222226</v>
      </c>
      <c r="E47" s="6">
        <f t="shared" si="19"/>
        <v>1416.6666666666667</v>
      </c>
      <c r="F47" s="10"/>
      <c r="G47" s="9">
        <f t="shared" si="15"/>
        <v>0</v>
      </c>
      <c r="H47" s="4">
        <f t="shared" si="20"/>
        <v>842916.66666666686</v>
      </c>
      <c r="I47" s="5">
        <f t="shared" si="21"/>
        <v>3512.1527777777787</v>
      </c>
      <c r="J47" s="6">
        <f t="shared" si="22"/>
        <v>1416.6666666666667</v>
      </c>
      <c r="K47" s="14"/>
      <c r="L47" s="9">
        <f t="shared" si="16"/>
        <v>0</v>
      </c>
      <c r="M47" s="4">
        <f t="shared" si="23"/>
        <v>842916.66666666686</v>
      </c>
      <c r="N47" s="5">
        <f t="shared" si="24"/>
        <v>4214.5833333333339</v>
      </c>
      <c r="O47" s="6">
        <f t="shared" si="25"/>
        <v>1416.6666666666667</v>
      </c>
    </row>
    <row r="48" spans="1:15" x14ac:dyDescent="0.2">
      <c r="A48" s="2">
        <v>34</v>
      </c>
      <c r="B48" s="9">
        <f t="shared" si="14"/>
        <v>2</v>
      </c>
      <c r="C48" s="4">
        <f t="shared" si="17"/>
        <v>841500.00000000023</v>
      </c>
      <c r="D48" s="5">
        <f t="shared" si="18"/>
        <v>2805.0000000000005</v>
      </c>
      <c r="E48" s="6">
        <f t="shared" si="19"/>
        <v>1416.6666666666667</v>
      </c>
      <c r="F48" s="10"/>
      <c r="G48" s="9">
        <f t="shared" si="15"/>
        <v>0</v>
      </c>
      <c r="H48" s="4">
        <f t="shared" si="20"/>
        <v>841500.00000000023</v>
      </c>
      <c r="I48" s="5">
        <f t="shared" si="21"/>
        <v>3506.2500000000014</v>
      </c>
      <c r="J48" s="6">
        <f t="shared" si="22"/>
        <v>1416.6666666666667</v>
      </c>
      <c r="K48" s="14"/>
      <c r="L48" s="9">
        <f t="shared" si="16"/>
        <v>0</v>
      </c>
      <c r="M48" s="4">
        <f t="shared" si="23"/>
        <v>841500.00000000023</v>
      </c>
      <c r="N48" s="5">
        <f t="shared" si="24"/>
        <v>4207.5000000000009</v>
      </c>
      <c r="O48" s="6">
        <f t="shared" si="25"/>
        <v>1416.6666666666667</v>
      </c>
    </row>
    <row r="49" spans="1:15" x14ac:dyDescent="0.2">
      <c r="A49" s="2">
        <v>35</v>
      </c>
      <c r="B49" s="9">
        <f t="shared" si="14"/>
        <v>2</v>
      </c>
      <c r="C49" s="4">
        <f t="shared" si="17"/>
        <v>840083.3333333336</v>
      </c>
      <c r="D49" s="5">
        <f t="shared" si="18"/>
        <v>2800.2777777777787</v>
      </c>
      <c r="E49" s="6">
        <f t="shared" si="19"/>
        <v>1416.6666666666667</v>
      </c>
      <c r="F49" s="10"/>
      <c r="G49" s="9">
        <f t="shared" si="15"/>
        <v>0</v>
      </c>
      <c r="H49" s="4">
        <f t="shared" si="20"/>
        <v>840083.3333333336</v>
      </c>
      <c r="I49" s="5">
        <f t="shared" si="21"/>
        <v>3500.347222222224</v>
      </c>
      <c r="J49" s="6">
        <f t="shared" si="22"/>
        <v>1416.6666666666667</v>
      </c>
      <c r="K49" s="14"/>
      <c r="L49" s="9">
        <f t="shared" si="16"/>
        <v>0</v>
      </c>
      <c r="M49" s="4">
        <f t="shared" si="23"/>
        <v>840083.3333333336</v>
      </c>
      <c r="N49" s="5">
        <f t="shared" si="24"/>
        <v>4200.4166666666679</v>
      </c>
      <c r="O49" s="6">
        <f t="shared" si="25"/>
        <v>1416.6666666666667</v>
      </c>
    </row>
    <row r="50" spans="1:15" x14ac:dyDescent="0.2">
      <c r="A50" s="2">
        <v>36</v>
      </c>
      <c r="B50" s="9">
        <f>ROUNDDOWN(A41/$B$4,0)</f>
        <v>2</v>
      </c>
      <c r="C50" s="4">
        <f t="shared" si="17"/>
        <v>838666.66666666698</v>
      </c>
      <c r="D50" s="5">
        <f t="shared" si="18"/>
        <v>2795.5555555555566</v>
      </c>
      <c r="E50" s="6">
        <f t="shared" si="19"/>
        <v>1416.6666666666667</v>
      </c>
      <c r="G50" s="9">
        <f>ROUNDDOWN(F41/$B$4,0)</f>
        <v>0</v>
      </c>
      <c r="H50" s="4">
        <f t="shared" si="20"/>
        <v>838666.66666666698</v>
      </c>
      <c r="I50" s="5">
        <f t="shared" si="21"/>
        <v>3494.4444444444457</v>
      </c>
      <c r="J50" s="6">
        <f t="shared" si="22"/>
        <v>1416.6666666666667</v>
      </c>
      <c r="K50" s="14"/>
      <c r="L50" s="9">
        <f>ROUNDDOWN(K41/$B$4,0)</f>
        <v>0</v>
      </c>
      <c r="M50" s="4">
        <f t="shared" si="23"/>
        <v>838666.66666666698</v>
      </c>
      <c r="N50" s="5">
        <f t="shared" si="24"/>
        <v>4193.3333333333348</v>
      </c>
      <c r="O50" s="6">
        <f t="shared" si="25"/>
        <v>1416.6666666666667</v>
      </c>
    </row>
    <row r="51" spans="1:15" x14ac:dyDescent="0.2">
      <c r="A51" s="2">
        <v>37</v>
      </c>
      <c r="B51" s="9">
        <f>ROUNDDOWN(A42/$B$4,0)</f>
        <v>2</v>
      </c>
      <c r="C51" s="4">
        <f t="shared" si="17"/>
        <v>837250.00000000035</v>
      </c>
      <c r="D51" s="5">
        <f t="shared" si="18"/>
        <v>2790.8333333333344</v>
      </c>
      <c r="E51" s="6">
        <f t="shared" si="19"/>
        <v>1416.6666666666667</v>
      </c>
      <c r="G51" s="9">
        <f>ROUNDDOWN(F42/$B$4,0)</f>
        <v>0</v>
      </c>
      <c r="H51" s="4">
        <f t="shared" si="20"/>
        <v>837250.00000000035</v>
      </c>
      <c r="I51" s="5">
        <f t="shared" si="21"/>
        <v>3488.5416666666683</v>
      </c>
      <c r="J51" s="6">
        <f t="shared" si="22"/>
        <v>1416.6666666666667</v>
      </c>
      <c r="K51" s="14"/>
      <c r="L51" s="9">
        <f>ROUNDDOWN(K42/$B$4,0)</f>
        <v>0</v>
      </c>
      <c r="M51" s="4">
        <f t="shared" si="23"/>
        <v>837250.00000000035</v>
      </c>
      <c r="N51" s="5">
        <f t="shared" si="24"/>
        <v>4186.2500000000018</v>
      </c>
      <c r="O51" s="6">
        <f t="shared" si="25"/>
        <v>1416.6666666666667</v>
      </c>
    </row>
    <row r="52" spans="1:15" x14ac:dyDescent="0.2">
      <c r="A52" s="2">
        <v>38</v>
      </c>
      <c r="B52" s="9">
        <f>ROUNDDOWN(A43/$B$4,0)</f>
        <v>2</v>
      </c>
      <c r="C52" s="4">
        <f t="shared" si="17"/>
        <v>835833.33333333372</v>
      </c>
      <c r="D52" s="5">
        <f t="shared" si="18"/>
        <v>2786.1111111111127</v>
      </c>
      <c r="E52" s="6">
        <f t="shared" si="19"/>
        <v>1416.6666666666667</v>
      </c>
      <c r="G52" s="9">
        <f>ROUNDDOWN(F43/$B$4,0)</f>
        <v>0</v>
      </c>
      <c r="H52" s="4">
        <f t="shared" si="20"/>
        <v>835833.33333333372</v>
      </c>
      <c r="I52" s="5">
        <f t="shared" si="21"/>
        <v>3482.6388888888905</v>
      </c>
      <c r="J52" s="6">
        <f t="shared" si="22"/>
        <v>1416.6666666666667</v>
      </c>
      <c r="K52" s="14"/>
      <c r="L52" s="9">
        <f>ROUNDDOWN(K43/$B$4,0)</f>
        <v>0</v>
      </c>
      <c r="M52" s="4">
        <f t="shared" si="23"/>
        <v>835833.33333333372</v>
      </c>
      <c r="N52" s="5">
        <f t="shared" si="24"/>
        <v>4179.1666666666688</v>
      </c>
      <c r="O52" s="6">
        <f t="shared" si="25"/>
        <v>1416.6666666666667</v>
      </c>
    </row>
    <row r="53" spans="1:15" x14ac:dyDescent="0.2">
      <c r="A53" s="2">
        <v>39</v>
      </c>
      <c r="B53" s="9">
        <f>ROUNDDOWN(A44/$B$4,0)</f>
        <v>2</v>
      </c>
      <c r="C53" s="4">
        <f t="shared" si="17"/>
        <v>834416.66666666709</v>
      </c>
      <c r="D53" s="5">
        <f t="shared" si="18"/>
        <v>2781.3888888888905</v>
      </c>
      <c r="E53" s="6">
        <f t="shared" si="19"/>
        <v>1416.6666666666667</v>
      </c>
      <c r="G53" s="9">
        <f>ROUNDDOWN(F44/$B$4,0)</f>
        <v>0</v>
      </c>
      <c r="H53" s="4">
        <f t="shared" si="20"/>
        <v>834416.66666666709</v>
      </c>
      <c r="I53" s="5">
        <f t="shared" si="21"/>
        <v>3476.7361111111131</v>
      </c>
      <c r="J53" s="6">
        <f t="shared" si="22"/>
        <v>1416.6666666666667</v>
      </c>
      <c r="K53" s="14"/>
      <c r="L53" s="9">
        <f>ROUNDDOWN(K44/$B$4,0)</f>
        <v>0</v>
      </c>
      <c r="M53" s="4">
        <f t="shared" si="23"/>
        <v>834416.66666666709</v>
      </c>
      <c r="N53" s="5">
        <f t="shared" si="24"/>
        <v>4172.0833333333348</v>
      </c>
      <c r="O53" s="6">
        <f t="shared" si="25"/>
        <v>1416.6666666666667</v>
      </c>
    </row>
    <row r="54" spans="1:15" x14ac:dyDescent="0.2">
      <c r="A54" s="2">
        <v>40</v>
      </c>
      <c r="B54" s="9"/>
      <c r="H54" s="14"/>
      <c r="I54" s="14"/>
      <c r="J54" s="11"/>
      <c r="K54" s="14"/>
    </row>
    <row r="55" spans="1:15" x14ac:dyDescent="0.2">
      <c r="A55" s="2">
        <v>41</v>
      </c>
      <c r="B55" s="9"/>
      <c r="H55" s="14"/>
      <c r="I55" s="14"/>
      <c r="J55" s="11"/>
      <c r="K55" s="14"/>
    </row>
    <row r="56" spans="1:15" x14ac:dyDescent="0.2">
      <c r="A56" s="2">
        <v>42</v>
      </c>
      <c r="B56" s="9"/>
      <c r="H56" s="14"/>
      <c r="I56" s="14"/>
      <c r="J56" s="11"/>
      <c r="K56" s="14"/>
    </row>
    <row r="57" spans="1:15" x14ac:dyDescent="0.2">
      <c r="A57" s="2">
        <v>43</v>
      </c>
      <c r="B57" s="9"/>
      <c r="C57" s="4"/>
      <c r="D57" s="5"/>
      <c r="E57" s="6"/>
      <c r="F57" s="10"/>
      <c r="H57" s="14"/>
      <c r="I57" s="14"/>
      <c r="J57" s="11"/>
      <c r="K57" s="14"/>
    </row>
    <row r="58" spans="1:15" x14ac:dyDescent="0.2">
      <c r="A58" s="2">
        <v>44</v>
      </c>
      <c r="B58" s="9"/>
      <c r="C58" s="4"/>
      <c r="D58" s="5"/>
      <c r="E58" s="6"/>
      <c r="F58" s="10"/>
      <c r="H58" s="14"/>
      <c r="I58" s="14"/>
      <c r="J58" s="11"/>
      <c r="K58" s="14"/>
    </row>
    <row r="59" spans="1:15" x14ac:dyDescent="0.2">
      <c r="A59" s="2">
        <v>45</v>
      </c>
      <c r="B59" s="9"/>
      <c r="C59" s="4"/>
      <c r="D59" s="5"/>
      <c r="E59" s="6"/>
      <c r="F59" s="10"/>
      <c r="H59" s="14"/>
      <c r="I59" s="14"/>
      <c r="J59" s="11"/>
      <c r="K59" s="14"/>
    </row>
    <row r="60" spans="1:15" x14ac:dyDescent="0.2">
      <c r="A60" s="2">
        <v>46</v>
      </c>
      <c r="B60" s="9"/>
      <c r="C60" s="4"/>
      <c r="D60" s="5"/>
      <c r="E60" s="6"/>
      <c r="F60" s="10"/>
      <c r="H60" s="14"/>
      <c r="I60" s="14"/>
      <c r="J60" s="11"/>
      <c r="K60" s="14"/>
    </row>
    <row r="61" spans="1:15" x14ac:dyDescent="0.2">
      <c r="A61" s="2">
        <v>47</v>
      </c>
      <c r="B61" s="9"/>
      <c r="C61" s="4"/>
      <c r="D61" s="5"/>
      <c r="E61" s="6"/>
      <c r="F61" s="10"/>
      <c r="H61" s="14"/>
      <c r="I61" s="14"/>
      <c r="J61" s="11"/>
      <c r="K61" s="14"/>
    </row>
    <row r="62" spans="1:15" x14ac:dyDescent="0.2">
      <c r="A62" s="2">
        <v>48</v>
      </c>
      <c r="B62" s="9"/>
      <c r="C62" s="4"/>
      <c r="D62" s="5"/>
      <c r="E62" s="6"/>
      <c r="F62" s="10"/>
      <c r="H62" s="14"/>
      <c r="I62" s="14"/>
      <c r="J62" s="11"/>
      <c r="K62" s="14"/>
    </row>
    <row r="63" spans="1:15" x14ac:dyDescent="0.2">
      <c r="A63" s="2">
        <v>49</v>
      </c>
      <c r="B63" s="9"/>
      <c r="C63" s="4"/>
      <c r="D63" s="5"/>
      <c r="E63" s="6"/>
      <c r="F63" s="10"/>
      <c r="H63" s="14"/>
      <c r="I63" s="14"/>
      <c r="J63" s="11"/>
      <c r="K63" s="14"/>
    </row>
    <row r="64" spans="1:15" x14ac:dyDescent="0.2">
      <c r="A64" s="2">
        <v>50</v>
      </c>
      <c r="B64" s="9"/>
      <c r="C64" s="4"/>
      <c r="D64" s="5"/>
      <c r="E64" s="6"/>
      <c r="F64" s="10"/>
      <c r="H64" s="14"/>
      <c r="I64" s="14"/>
      <c r="J64" s="11"/>
      <c r="K64" s="15"/>
    </row>
    <row r="65" spans="1:8" x14ac:dyDescent="0.2">
      <c r="A65" s="2">
        <v>51</v>
      </c>
      <c r="B65" s="9"/>
      <c r="C65" s="4"/>
      <c r="D65" s="5"/>
      <c r="E65" s="6"/>
      <c r="F65" s="10"/>
      <c r="G65" s="4"/>
      <c r="H65" s="6"/>
    </row>
    <row r="66" spans="1:8" x14ac:dyDescent="0.2">
      <c r="A66" s="2">
        <v>52</v>
      </c>
      <c r="B66" s="9"/>
      <c r="C66" s="4"/>
      <c r="D66" s="5"/>
      <c r="E66" s="6"/>
      <c r="F66" s="10"/>
      <c r="G66" s="4"/>
      <c r="H66" s="6"/>
    </row>
    <row r="67" spans="1:8" x14ac:dyDescent="0.2">
      <c r="A67" s="2">
        <v>53</v>
      </c>
      <c r="B67" s="9"/>
      <c r="C67" s="4"/>
      <c r="D67" s="5"/>
      <c r="E67" s="6"/>
      <c r="F67" s="10"/>
      <c r="G67" s="4"/>
      <c r="H67" s="6"/>
    </row>
    <row r="68" spans="1:8" x14ac:dyDescent="0.2">
      <c r="A68" s="2">
        <v>54</v>
      </c>
      <c r="B68" s="9"/>
      <c r="C68" s="4"/>
      <c r="D68" s="5"/>
      <c r="E68" s="6"/>
      <c r="F68" s="10"/>
      <c r="G68" s="4"/>
      <c r="H68" s="6"/>
    </row>
    <row r="69" spans="1:8" x14ac:dyDescent="0.2">
      <c r="A69" s="2">
        <v>55</v>
      </c>
      <c r="B69" s="9"/>
      <c r="C69" s="4"/>
      <c r="D69" s="5"/>
      <c r="E69" s="6"/>
      <c r="F69" s="10"/>
      <c r="G69" s="4"/>
      <c r="H69" s="6"/>
    </row>
    <row r="70" spans="1:8" x14ac:dyDescent="0.2">
      <c r="A70" s="2">
        <v>56</v>
      </c>
      <c r="B70" s="9"/>
      <c r="C70" s="4"/>
      <c r="D70" s="5"/>
      <c r="E70" s="6"/>
      <c r="F70" s="10"/>
      <c r="G70" s="4"/>
      <c r="H70" s="6"/>
    </row>
    <row r="71" spans="1:8" x14ac:dyDescent="0.2">
      <c r="A71" s="2">
        <v>57</v>
      </c>
      <c r="B71" s="9"/>
      <c r="C71" s="4"/>
      <c r="D71" s="5"/>
      <c r="E71" s="6"/>
      <c r="F71" s="10"/>
      <c r="G71" s="4"/>
      <c r="H71" s="6"/>
    </row>
    <row r="72" spans="1:8" x14ac:dyDescent="0.2">
      <c r="A72" s="2">
        <v>58</v>
      </c>
      <c r="B72" s="9"/>
      <c r="C72" s="4"/>
      <c r="D72" s="5"/>
      <c r="E72" s="6"/>
      <c r="F72" s="10"/>
      <c r="G72" s="4"/>
      <c r="H72" s="6"/>
    </row>
    <row r="73" spans="1:8" x14ac:dyDescent="0.2">
      <c r="A73" s="2">
        <v>59</v>
      </c>
      <c r="B73" s="9"/>
      <c r="C73" s="4"/>
      <c r="D73" s="5"/>
      <c r="E73" s="6"/>
      <c r="F73" s="10"/>
      <c r="G73" s="4"/>
      <c r="H73" s="6"/>
    </row>
    <row r="74" spans="1:8" x14ac:dyDescent="0.2">
      <c r="A74" s="2">
        <v>60</v>
      </c>
      <c r="B74" s="9"/>
      <c r="C74" s="4"/>
      <c r="D74" s="5"/>
      <c r="E74" s="6"/>
      <c r="F74" s="10"/>
      <c r="G74" s="4"/>
      <c r="H74" s="6"/>
    </row>
    <row r="75" spans="1:8" x14ac:dyDescent="0.2">
      <c r="A75" s="2">
        <v>61</v>
      </c>
      <c r="B75" s="9"/>
      <c r="C75" s="4"/>
      <c r="D75" s="5"/>
      <c r="E75" s="6"/>
      <c r="F75" s="10"/>
      <c r="G75" s="4"/>
      <c r="H75" s="6"/>
    </row>
    <row r="76" spans="1:8" x14ac:dyDescent="0.2">
      <c r="A76" s="2">
        <v>62</v>
      </c>
      <c r="B76" s="9"/>
      <c r="C76" s="4"/>
      <c r="D76" s="5"/>
      <c r="E76" s="6"/>
      <c r="F76" s="10"/>
      <c r="G76" s="4"/>
      <c r="H76" s="6"/>
    </row>
    <row r="77" spans="1:8" x14ac:dyDescent="0.2">
      <c r="A77" s="2">
        <v>63</v>
      </c>
      <c r="B77" s="9"/>
      <c r="C77" s="4"/>
      <c r="D77" s="5"/>
      <c r="E77" s="6"/>
      <c r="F77" s="10"/>
      <c r="G77" s="4"/>
      <c r="H77" s="6"/>
    </row>
    <row r="78" spans="1:8" x14ac:dyDescent="0.2">
      <c r="A78" s="2">
        <v>64</v>
      </c>
      <c r="B78" s="9"/>
      <c r="C78" s="4"/>
      <c r="D78" s="5"/>
      <c r="E78" s="6"/>
      <c r="F78" s="10"/>
      <c r="G78" s="4"/>
      <c r="H78" s="6"/>
    </row>
    <row r="79" spans="1:8" x14ac:dyDescent="0.2">
      <c r="A79" s="2">
        <v>65</v>
      </c>
      <c r="B79" s="9"/>
      <c r="C79" s="4"/>
      <c r="D79" s="5"/>
      <c r="E79" s="6"/>
      <c r="F79" s="10"/>
      <c r="G79" s="4"/>
      <c r="H79" s="6"/>
    </row>
    <row r="80" spans="1:8" x14ac:dyDescent="0.2">
      <c r="A80" s="2">
        <v>66</v>
      </c>
      <c r="B80" s="9"/>
      <c r="C80" s="4"/>
      <c r="D80" s="5"/>
      <c r="E80" s="6"/>
      <c r="F80" s="10"/>
      <c r="G80" s="4"/>
      <c r="H80" s="6"/>
    </row>
    <row r="81" spans="1:8" x14ac:dyDescent="0.2">
      <c r="A81" s="2">
        <v>67</v>
      </c>
      <c r="B81" s="9"/>
      <c r="C81" s="4"/>
      <c r="D81" s="5"/>
      <c r="E81" s="6"/>
      <c r="F81" s="10"/>
      <c r="G81" s="4"/>
      <c r="H81" s="6"/>
    </row>
    <row r="82" spans="1:8" x14ac:dyDescent="0.2">
      <c r="A82" s="2">
        <v>68</v>
      </c>
      <c r="B82" s="9"/>
      <c r="C82" s="4"/>
      <c r="D82" s="5"/>
      <c r="E82" s="6"/>
      <c r="F82" s="10"/>
      <c r="G82" s="4"/>
      <c r="H82" s="6"/>
    </row>
    <row r="83" spans="1:8" x14ac:dyDescent="0.2">
      <c r="A83" s="2">
        <v>69</v>
      </c>
      <c r="B83" s="9"/>
      <c r="C83" s="4"/>
      <c r="D83" s="5"/>
      <c r="E83" s="6"/>
      <c r="F83" s="10"/>
      <c r="G83" s="4"/>
      <c r="H83" s="6"/>
    </row>
    <row r="84" spans="1:8" x14ac:dyDescent="0.2">
      <c r="A84" s="2">
        <v>70</v>
      </c>
      <c r="B84" s="9"/>
      <c r="C84" s="4"/>
      <c r="D84" s="5"/>
      <c r="E84" s="6"/>
      <c r="F84" s="10"/>
      <c r="G84" s="4"/>
      <c r="H84" s="6"/>
    </row>
    <row r="85" spans="1:8" x14ac:dyDescent="0.2">
      <c r="A85" s="2">
        <v>71</v>
      </c>
      <c r="B85" s="9"/>
      <c r="C85" s="4"/>
      <c r="D85" s="5"/>
      <c r="E85" s="6"/>
      <c r="F85" s="10"/>
      <c r="G85" s="4"/>
      <c r="H85" s="6"/>
    </row>
    <row r="86" spans="1:8" x14ac:dyDescent="0.2">
      <c r="A86" s="2">
        <v>72</v>
      </c>
      <c r="B86" s="9"/>
      <c r="C86" s="4"/>
      <c r="D86" s="5"/>
      <c r="E86" s="6"/>
      <c r="F86" s="10"/>
      <c r="G86" s="4"/>
      <c r="H86" s="6"/>
    </row>
    <row r="87" spans="1:8" x14ac:dyDescent="0.2">
      <c r="A87" s="2">
        <v>73</v>
      </c>
      <c r="B87" s="9"/>
      <c r="C87" s="4"/>
      <c r="D87" s="5"/>
      <c r="E87" s="6"/>
      <c r="F87" s="10"/>
      <c r="G87" s="4"/>
      <c r="H87" s="6"/>
    </row>
    <row r="88" spans="1:8" x14ac:dyDescent="0.2">
      <c r="A88" s="2">
        <v>74</v>
      </c>
      <c r="B88" s="9"/>
      <c r="C88" s="4"/>
      <c r="D88" s="5"/>
      <c r="E88" s="6"/>
      <c r="F88" s="10"/>
      <c r="G88" s="4"/>
      <c r="H88" s="6"/>
    </row>
    <row r="89" spans="1:8" x14ac:dyDescent="0.2">
      <c r="A89" s="2">
        <v>75</v>
      </c>
      <c r="B89" s="9"/>
      <c r="C89" s="4"/>
      <c r="D89" s="5"/>
      <c r="E89" s="6"/>
      <c r="F89" s="10"/>
      <c r="G89" s="4"/>
      <c r="H89" s="6"/>
    </row>
    <row r="90" spans="1:8" x14ac:dyDescent="0.2">
      <c r="A90" s="2">
        <v>76</v>
      </c>
      <c r="B90" s="9"/>
      <c r="C90" s="4"/>
      <c r="D90" s="5"/>
      <c r="E90" s="6"/>
      <c r="F90" s="10"/>
      <c r="G90" s="4"/>
      <c r="H90" s="6"/>
    </row>
    <row r="91" spans="1:8" x14ac:dyDescent="0.2">
      <c r="A91" s="2">
        <v>77</v>
      </c>
      <c r="B91" s="9"/>
      <c r="C91" s="4"/>
      <c r="D91" s="5"/>
      <c r="E91" s="6"/>
      <c r="F91" s="10"/>
      <c r="G91" s="4"/>
      <c r="H91" s="6"/>
    </row>
    <row r="92" spans="1:8" x14ac:dyDescent="0.2">
      <c r="A92" s="2">
        <v>78</v>
      </c>
      <c r="B92" s="9"/>
      <c r="C92" s="4"/>
      <c r="D92" s="5"/>
      <c r="E92" s="6"/>
      <c r="F92" s="10"/>
      <c r="G92" s="4"/>
      <c r="H92" s="6"/>
    </row>
    <row r="93" spans="1:8" x14ac:dyDescent="0.2">
      <c r="A93" s="2">
        <v>79</v>
      </c>
      <c r="B93" s="9"/>
      <c r="C93" s="4"/>
      <c r="D93" s="5"/>
      <c r="E93" s="6"/>
      <c r="F93" s="10"/>
      <c r="G93" s="4"/>
      <c r="H93" s="6"/>
    </row>
    <row r="94" spans="1:8" x14ac:dyDescent="0.2">
      <c r="A94" s="2">
        <v>80</v>
      </c>
      <c r="B94" s="9"/>
      <c r="C94" s="4"/>
      <c r="D94" s="5"/>
      <c r="E94" s="6"/>
      <c r="F94" s="10"/>
      <c r="G94" s="4"/>
      <c r="H94" s="6"/>
    </row>
    <row r="95" spans="1:8" x14ac:dyDescent="0.2">
      <c r="A95" s="2">
        <v>81</v>
      </c>
      <c r="B95" s="9"/>
      <c r="C95" s="4"/>
      <c r="D95" s="5"/>
      <c r="E95" s="6"/>
      <c r="F95" s="10"/>
      <c r="G95" s="4"/>
      <c r="H95" s="6"/>
    </row>
    <row r="96" spans="1:8" x14ac:dyDescent="0.2">
      <c r="A96" s="2">
        <v>82</v>
      </c>
      <c r="B96" s="9"/>
      <c r="C96" s="4"/>
      <c r="D96" s="5"/>
      <c r="E96" s="6"/>
      <c r="F96" s="10"/>
      <c r="G96" s="4"/>
      <c r="H96" s="6"/>
    </row>
    <row r="97" spans="1:8" x14ac:dyDescent="0.2">
      <c r="A97" s="2">
        <v>83</v>
      </c>
      <c r="B97" s="9"/>
      <c r="C97" s="4"/>
      <c r="D97" s="5"/>
      <c r="E97" s="6"/>
      <c r="F97" s="10"/>
      <c r="G97" s="4"/>
      <c r="H97" s="6"/>
    </row>
    <row r="98" spans="1:8" x14ac:dyDescent="0.2">
      <c r="A98" s="2">
        <v>84</v>
      </c>
      <c r="B98" s="9"/>
      <c r="C98" s="4"/>
      <c r="D98" s="5"/>
      <c r="E98" s="6"/>
      <c r="F98" s="10"/>
      <c r="G98" s="4"/>
      <c r="H98" s="6"/>
    </row>
    <row r="99" spans="1:8" x14ac:dyDescent="0.2">
      <c r="A99" s="2">
        <v>85</v>
      </c>
      <c r="B99" s="9"/>
      <c r="C99" s="4"/>
      <c r="D99" s="5"/>
      <c r="E99" s="6"/>
      <c r="F99" s="10"/>
      <c r="G99" s="4"/>
      <c r="H99" s="6"/>
    </row>
    <row r="100" spans="1:8" x14ac:dyDescent="0.2">
      <c r="A100" s="2">
        <v>86</v>
      </c>
      <c r="B100" s="9"/>
      <c r="C100" s="4"/>
      <c r="D100" s="5"/>
      <c r="E100" s="6"/>
      <c r="F100" s="10"/>
      <c r="G100" s="4"/>
      <c r="H100" s="6"/>
    </row>
    <row r="101" spans="1:8" x14ac:dyDescent="0.2">
      <c r="A101" s="2">
        <v>87</v>
      </c>
      <c r="B101" s="9"/>
      <c r="C101" s="4"/>
      <c r="D101" s="5"/>
      <c r="E101" s="6"/>
      <c r="F101" s="10"/>
      <c r="G101" s="4"/>
      <c r="H101" s="6"/>
    </row>
    <row r="102" spans="1:8" x14ac:dyDescent="0.2">
      <c r="A102" s="2">
        <v>88</v>
      </c>
      <c r="B102" s="9"/>
      <c r="C102" s="4"/>
      <c r="D102" s="5"/>
      <c r="E102" s="6"/>
      <c r="F102" s="10"/>
      <c r="G102" s="4"/>
      <c r="H102" s="6"/>
    </row>
    <row r="103" spans="1:8" x14ac:dyDescent="0.2">
      <c r="A103" s="2">
        <v>89</v>
      </c>
      <c r="B103" s="9"/>
      <c r="C103" s="4"/>
      <c r="D103" s="5"/>
      <c r="E103" s="6"/>
      <c r="F103" s="10"/>
      <c r="G103" s="4"/>
      <c r="H103" s="6"/>
    </row>
    <row r="104" spans="1:8" x14ac:dyDescent="0.2">
      <c r="A104" s="2">
        <v>90</v>
      </c>
      <c r="B104" s="9"/>
      <c r="C104" s="4"/>
      <c r="D104" s="5"/>
      <c r="E104" s="6"/>
      <c r="F104" s="10"/>
      <c r="G104" s="4"/>
      <c r="H104" s="6"/>
    </row>
    <row r="105" spans="1:8" x14ac:dyDescent="0.2">
      <c r="A105" s="2">
        <v>91</v>
      </c>
      <c r="B105" s="9"/>
      <c r="C105" s="4"/>
      <c r="D105" s="5"/>
      <c r="E105" s="6"/>
      <c r="F105" s="10"/>
      <c r="G105" s="4"/>
      <c r="H105" s="6"/>
    </row>
    <row r="106" spans="1:8" x14ac:dyDescent="0.2">
      <c r="A106" s="2">
        <v>92</v>
      </c>
      <c r="B106" s="9"/>
      <c r="C106" s="4"/>
      <c r="D106" s="5"/>
      <c r="E106" s="6"/>
      <c r="F106" s="10"/>
      <c r="G106" s="4"/>
      <c r="H106" s="6"/>
    </row>
    <row r="107" spans="1:8" x14ac:dyDescent="0.2">
      <c r="A107" s="2">
        <v>93</v>
      </c>
      <c r="B107" s="9"/>
      <c r="C107" s="4"/>
      <c r="D107" s="5"/>
      <c r="E107" s="6"/>
      <c r="F107" s="10"/>
      <c r="G107" s="4"/>
      <c r="H107" s="6"/>
    </row>
    <row r="108" spans="1:8" x14ac:dyDescent="0.2">
      <c r="A108" s="2">
        <v>94</v>
      </c>
      <c r="B108" s="9"/>
      <c r="C108" s="4"/>
      <c r="D108" s="5"/>
      <c r="E108" s="6"/>
      <c r="F108" s="10"/>
      <c r="G108" s="4"/>
      <c r="H108" s="6"/>
    </row>
    <row r="109" spans="1:8" x14ac:dyDescent="0.2">
      <c r="A109" s="2">
        <v>95</v>
      </c>
      <c r="B109" s="9"/>
      <c r="C109" s="4"/>
      <c r="D109" s="5"/>
      <c r="E109" s="6"/>
      <c r="F109" s="10"/>
      <c r="G109" s="4"/>
      <c r="H109" s="6"/>
    </row>
    <row r="110" spans="1:8" x14ac:dyDescent="0.2">
      <c r="A110" s="2">
        <v>96</v>
      </c>
      <c r="B110" s="9"/>
      <c r="C110" s="4"/>
      <c r="D110" s="5"/>
      <c r="E110" s="6"/>
      <c r="F110" s="10"/>
      <c r="G110" s="4"/>
      <c r="H110" s="6"/>
    </row>
    <row r="111" spans="1:8" x14ac:dyDescent="0.2">
      <c r="A111" s="2">
        <v>97</v>
      </c>
      <c r="B111" s="9"/>
      <c r="C111" s="4"/>
      <c r="D111" s="5"/>
      <c r="E111" s="6"/>
      <c r="F111" s="10"/>
      <c r="G111" s="4"/>
      <c r="H111" s="6"/>
    </row>
    <row r="112" spans="1:8" x14ac:dyDescent="0.2">
      <c r="A112" s="2">
        <v>98</v>
      </c>
      <c r="B112" s="9"/>
      <c r="C112" s="4"/>
      <c r="D112" s="5"/>
      <c r="E112" s="6"/>
      <c r="F112" s="10"/>
      <c r="G112" s="4"/>
      <c r="H112" s="6"/>
    </row>
    <row r="113" spans="1:8" x14ac:dyDescent="0.2">
      <c r="A113" s="2">
        <v>99</v>
      </c>
      <c r="B113" s="9"/>
      <c r="C113" s="4"/>
      <c r="D113" s="5"/>
      <c r="E113" s="6"/>
      <c r="F113" s="10"/>
      <c r="G113" s="4"/>
      <c r="H113" s="6"/>
    </row>
    <row r="114" spans="1:8" x14ac:dyDescent="0.2">
      <c r="A114" s="2">
        <v>100</v>
      </c>
      <c r="B114" s="9"/>
      <c r="C114" s="4"/>
      <c r="D114" s="5"/>
      <c r="E114" s="6"/>
      <c r="F114" s="10"/>
      <c r="G114" s="4"/>
      <c r="H114" s="6"/>
    </row>
    <row r="115" spans="1:8" x14ac:dyDescent="0.2">
      <c r="A115" s="2">
        <v>101</v>
      </c>
      <c r="B115" s="9"/>
      <c r="C115" s="4"/>
      <c r="D115" s="5"/>
      <c r="E115" s="6"/>
      <c r="F115" s="10"/>
      <c r="G115" s="4"/>
      <c r="H115" s="6"/>
    </row>
    <row r="116" spans="1:8" x14ac:dyDescent="0.2">
      <c r="A116" s="2">
        <v>102</v>
      </c>
      <c r="B116" s="9"/>
      <c r="C116" s="4"/>
      <c r="D116" s="5"/>
      <c r="E116" s="6"/>
      <c r="F116" s="10"/>
      <c r="G116" s="4"/>
      <c r="H116" s="6"/>
    </row>
    <row r="117" spans="1:8" x14ac:dyDescent="0.2">
      <c r="A117" s="2">
        <v>103</v>
      </c>
      <c r="B117" s="9"/>
      <c r="C117" s="4"/>
      <c r="D117" s="5"/>
      <c r="E117" s="6"/>
      <c r="F117" s="10"/>
      <c r="G117" s="4"/>
      <c r="H117" s="6"/>
    </row>
    <row r="118" spans="1:8" x14ac:dyDescent="0.2">
      <c r="A118" s="2">
        <v>104</v>
      </c>
      <c r="B118" s="9"/>
      <c r="C118" s="4"/>
      <c r="D118" s="5"/>
      <c r="E118" s="6"/>
      <c r="F118" s="10"/>
      <c r="G118" s="4"/>
      <c r="H118" s="6"/>
    </row>
    <row r="119" spans="1:8" x14ac:dyDescent="0.2">
      <c r="A119" s="2">
        <v>105</v>
      </c>
      <c r="B119" s="9"/>
      <c r="C119" s="4"/>
      <c r="D119" s="5"/>
      <c r="E119" s="6"/>
      <c r="F119" s="10"/>
      <c r="G119" s="4"/>
      <c r="H119" s="6"/>
    </row>
    <row r="120" spans="1:8" x14ac:dyDescent="0.2">
      <c r="A120" s="2">
        <v>106</v>
      </c>
      <c r="B120" s="9"/>
      <c r="C120" s="4"/>
      <c r="D120" s="5"/>
      <c r="E120" s="6"/>
      <c r="F120" s="10"/>
      <c r="G120" s="4"/>
      <c r="H120" s="6"/>
    </row>
    <row r="121" spans="1:8" x14ac:dyDescent="0.2">
      <c r="A121" s="2">
        <v>107</v>
      </c>
      <c r="B121" s="9"/>
      <c r="C121" s="4"/>
      <c r="D121" s="5"/>
      <c r="E121" s="6"/>
      <c r="F121" s="10"/>
      <c r="G121" s="4"/>
      <c r="H121" s="6"/>
    </row>
    <row r="122" spans="1:8" x14ac:dyDescent="0.2">
      <c r="A122" s="2">
        <v>108</v>
      </c>
      <c r="B122" s="9"/>
      <c r="C122" s="4"/>
      <c r="D122" s="5"/>
      <c r="E122" s="6"/>
      <c r="F122" s="10"/>
      <c r="G122" s="4"/>
      <c r="H122" s="6"/>
    </row>
    <row r="123" spans="1:8" x14ac:dyDescent="0.2">
      <c r="A123" s="2">
        <v>109</v>
      </c>
      <c r="B123" s="9"/>
      <c r="C123" s="4"/>
      <c r="D123" s="5"/>
      <c r="E123" s="6"/>
      <c r="F123" s="10"/>
      <c r="G123" s="4"/>
      <c r="H123" s="6"/>
    </row>
    <row r="124" spans="1:8" x14ac:dyDescent="0.2">
      <c r="A124" s="2">
        <v>110</v>
      </c>
      <c r="B124" s="9"/>
      <c r="C124" s="4"/>
      <c r="D124" s="5"/>
      <c r="E124" s="6"/>
      <c r="F124" s="10"/>
      <c r="G124" s="4"/>
      <c r="H124" s="6"/>
    </row>
    <row r="125" spans="1:8" x14ac:dyDescent="0.2">
      <c r="A125" s="2">
        <v>111</v>
      </c>
      <c r="B125" s="9"/>
      <c r="C125" s="4"/>
      <c r="D125" s="5"/>
      <c r="E125" s="6"/>
      <c r="F125" s="10"/>
      <c r="G125" s="4"/>
      <c r="H125" s="6"/>
    </row>
    <row r="126" spans="1:8" x14ac:dyDescent="0.2">
      <c r="A126" s="2">
        <v>112</v>
      </c>
      <c r="B126" s="9"/>
      <c r="C126" s="4"/>
      <c r="D126" s="5"/>
      <c r="E126" s="6"/>
      <c r="F126" s="10"/>
      <c r="G126" s="4"/>
      <c r="H126" s="6"/>
    </row>
    <row r="127" spans="1:8" x14ac:dyDescent="0.2">
      <c r="A127" s="2">
        <v>113</v>
      </c>
      <c r="B127" s="9"/>
      <c r="C127" s="4"/>
      <c r="D127" s="5"/>
      <c r="E127" s="6"/>
      <c r="F127" s="10"/>
      <c r="G127" s="4"/>
      <c r="H127" s="6"/>
    </row>
    <row r="128" spans="1:8" x14ac:dyDescent="0.2">
      <c r="A128" s="2">
        <v>114</v>
      </c>
      <c r="B128" s="9"/>
      <c r="C128" s="4"/>
      <c r="D128" s="5"/>
      <c r="E128" s="6"/>
      <c r="F128" s="10"/>
      <c r="G128" s="4"/>
      <c r="H128" s="6"/>
    </row>
    <row r="129" spans="1:8" x14ac:dyDescent="0.2">
      <c r="A129" s="2">
        <v>115</v>
      </c>
      <c r="B129" s="9"/>
      <c r="C129" s="4"/>
      <c r="D129" s="5"/>
      <c r="E129" s="6"/>
      <c r="F129" s="10"/>
      <c r="G129" s="4"/>
      <c r="H129" s="6"/>
    </row>
    <row r="130" spans="1:8" x14ac:dyDescent="0.2">
      <c r="A130" s="2">
        <v>116</v>
      </c>
      <c r="B130" s="9"/>
      <c r="C130" s="4"/>
      <c r="D130" s="5"/>
      <c r="E130" s="6"/>
      <c r="F130" s="10"/>
      <c r="G130" s="4"/>
      <c r="H130" s="6"/>
    </row>
    <row r="131" spans="1:8" x14ac:dyDescent="0.2">
      <c r="A131" s="2">
        <v>117</v>
      </c>
      <c r="B131" s="9"/>
      <c r="C131" s="4"/>
      <c r="D131" s="5"/>
      <c r="E131" s="6"/>
      <c r="F131" s="10"/>
      <c r="G131" s="4"/>
      <c r="H131" s="6"/>
    </row>
    <row r="132" spans="1:8" x14ac:dyDescent="0.2">
      <c r="A132" s="2">
        <v>118</v>
      </c>
      <c r="B132" s="9"/>
      <c r="C132" s="4"/>
      <c r="D132" s="5"/>
      <c r="E132" s="6"/>
      <c r="F132" s="10"/>
      <c r="G132" s="4"/>
      <c r="H132" s="6"/>
    </row>
    <row r="133" spans="1:8" x14ac:dyDescent="0.2">
      <c r="A133" s="2">
        <v>119</v>
      </c>
      <c r="B133" s="9"/>
      <c r="C133" s="4"/>
      <c r="D133" s="5"/>
      <c r="E133" s="6"/>
      <c r="F133" s="10"/>
      <c r="G133" s="4"/>
      <c r="H133" s="6"/>
    </row>
    <row r="134" spans="1:8" x14ac:dyDescent="0.2">
      <c r="A134" s="2">
        <v>120</v>
      </c>
      <c r="B134" s="9"/>
      <c r="C134" s="4"/>
      <c r="D134" s="5"/>
      <c r="E134" s="6"/>
      <c r="F134" s="10"/>
      <c r="G134" s="4"/>
      <c r="H134" s="6"/>
    </row>
    <row r="135" spans="1:8" x14ac:dyDescent="0.2">
      <c r="A135" s="2">
        <v>121</v>
      </c>
      <c r="B135" s="9"/>
      <c r="C135" s="4"/>
      <c r="D135" s="5"/>
      <c r="E135" s="6"/>
      <c r="F135" s="10"/>
      <c r="G135" s="4"/>
      <c r="H135" s="6"/>
    </row>
    <row r="136" spans="1:8" x14ac:dyDescent="0.2">
      <c r="A136" s="2">
        <v>122</v>
      </c>
      <c r="B136" s="9"/>
      <c r="C136" s="4"/>
      <c r="D136" s="5"/>
      <c r="E136" s="6"/>
      <c r="F136" s="10"/>
      <c r="G136" s="4"/>
      <c r="H136" s="6"/>
    </row>
    <row r="137" spans="1:8" x14ac:dyDescent="0.2">
      <c r="A137" s="2">
        <v>123</v>
      </c>
      <c r="B137" s="9"/>
      <c r="C137" s="4"/>
      <c r="D137" s="5"/>
      <c r="E137" s="6"/>
      <c r="F137" s="10"/>
      <c r="G137" s="4"/>
      <c r="H137" s="6"/>
    </row>
    <row r="138" spans="1:8" x14ac:dyDescent="0.2">
      <c r="A138" s="2">
        <v>124</v>
      </c>
      <c r="B138" s="9"/>
      <c r="C138" s="4"/>
      <c r="D138" s="5"/>
      <c r="E138" s="6"/>
      <c r="F138" s="10"/>
      <c r="G138" s="4"/>
      <c r="H138" s="6"/>
    </row>
    <row r="139" spans="1:8" x14ac:dyDescent="0.2">
      <c r="A139" s="2">
        <v>125</v>
      </c>
      <c r="B139" s="9"/>
      <c r="C139" s="4"/>
      <c r="D139" s="5"/>
      <c r="E139" s="6"/>
      <c r="F139" s="10"/>
      <c r="G139" s="4"/>
      <c r="H139" s="6"/>
    </row>
    <row r="140" spans="1:8" x14ac:dyDescent="0.2">
      <c r="A140" s="2">
        <v>126</v>
      </c>
      <c r="B140" s="9"/>
      <c r="C140" s="4"/>
      <c r="D140" s="5"/>
      <c r="E140" s="6"/>
      <c r="F140" s="10"/>
      <c r="G140" s="4"/>
      <c r="H140" s="6"/>
    </row>
    <row r="141" spans="1:8" x14ac:dyDescent="0.2">
      <c r="A141" s="2">
        <v>127</v>
      </c>
      <c r="B141" s="9"/>
      <c r="C141" s="4"/>
      <c r="D141" s="5"/>
      <c r="E141" s="6"/>
      <c r="F141" s="10"/>
      <c r="G141" s="4"/>
      <c r="H141" s="6"/>
    </row>
    <row r="142" spans="1:8" x14ac:dyDescent="0.2">
      <c r="A142" s="2">
        <v>128</v>
      </c>
      <c r="B142" s="9"/>
      <c r="C142" s="4"/>
      <c r="D142" s="5"/>
      <c r="E142" s="6"/>
      <c r="F142" s="10"/>
      <c r="G142" s="4"/>
      <c r="H142" s="6"/>
    </row>
    <row r="143" spans="1:8" x14ac:dyDescent="0.2">
      <c r="A143" s="2">
        <v>129</v>
      </c>
      <c r="B143" s="9"/>
      <c r="C143" s="4"/>
      <c r="D143" s="5"/>
      <c r="E143" s="6"/>
      <c r="F143" s="10"/>
      <c r="G143" s="4"/>
      <c r="H143" s="6"/>
    </row>
    <row r="144" spans="1:8" x14ac:dyDescent="0.2">
      <c r="A144" s="2">
        <v>130</v>
      </c>
      <c r="B144" s="9"/>
      <c r="C144" s="4"/>
      <c r="D144" s="5"/>
      <c r="E144" s="6"/>
      <c r="F144" s="10"/>
      <c r="G144" s="4"/>
      <c r="H144" s="6"/>
    </row>
    <row r="145" spans="1:8" x14ac:dyDescent="0.2">
      <c r="A145" s="2">
        <v>131</v>
      </c>
      <c r="B145" s="9"/>
      <c r="C145" s="4"/>
      <c r="D145" s="5"/>
      <c r="E145" s="6"/>
      <c r="F145" s="10"/>
      <c r="G145" s="4"/>
      <c r="H145" s="6"/>
    </row>
    <row r="146" spans="1:8" x14ac:dyDescent="0.2">
      <c r="A146" s="2">
        <v>132</v>
      </c>
      <c r="B146" s="9"/>
      <c r="C146" s="4"/>
      <c r="D146" s="5"/>
      <c r="E146" s="6"/>
      <c r="F146" s="10"/>
      <c r="G146" s="4"/>
      <c r="H146" s="6"/>
    </row>
    <row r="147" spans="1:8" x14ac:dyDescent="0.2">
      <c r="A147" s="2">
        <v>133</v>
      </c>
      <c r="B147" s="9"/>
      <c r="C147" s="4"/>
      <c r="D147" s="5"/>
      <c r="E147" s="6"/>
      <c r="F147" s="10"/>
      <c r="G147" s="4"/>
      <c r="H147" s="6"/>
    </row>
    <row r="148" spans="1:8" x14ac:dyDescent="0.2">
      <c r="A148" s="2">
        <v>134</v>
      </c>
      <c r="B148" s="9"/>
      <c r="C148" s="4"/>
      <c r="D148" s="5"/>
      <c r="E148" s="6"/>
      <c r="F148" s="10"/>
      <c r="G148" s="4"/>
      <c r="H148" s="6"/>
    </row>
    <row r="149" spans="1:8" x14ac:dyDescent="0.2">
      <c r="A149" s="2">
        <v>135</v>
      </c>
      <c r="B149" s="9"/>
      <c r="C149" s="4"/>
      <c r="D149" s="5"/>
      <c r="E149" s="6"/>
      <c r="F149" s="10"/>
      <c r="G149" s="4"/>
      <c r="H149" s="6"/>
    </row>
    <row r="150" spans="1:8" x14ac:dyDescent="0.2">
      <c r="A150" s="2">
        <v>136</v>
      </c>
      <c r="B150" s="9"/>
      <c r="C150" s="4"/>
      <c r="D150" s="5"/>
      <c r="E150" s="6"/>
      <c r="F150" s="10"/>
      <c r="G150" s="4"/>
      <c r="H150" s="6"/>
    </row>
    <row r="151" spans="1:8" x14ac:dyDescent="0.2">
      <c r="A151" s="2">
        <v>137</v>
      </c>
      <c r="B151" s="9"/>
      <c r="C151" s="4"/>
      <c r="D151" s="5"/>
      <c r="E151" s="6"/>
      <c r="F151" s="10"/>
      <c r="G151" s="4"/>
      <c r="H151" s="6"/>
    </row>
    <row r="152" spans="1:8" x14ac:dyDescent="0.2">
      <c r="A152" s="2">
        <v>138</v>
      </c>
      <c r="B152" s="9"/>
      <c r="C152" s="4"/>
      <c r="D152" s="5"/>
      <c r="E152" s="6"/>
      <c r="F152" s="10"/>
      <c r="G152" s="4"/>
      <c r="H152" s="6"/>
    </row>
    <row r="153" spans="1:8" x14ac:dyDescent="0.2">
      <c r="A153" s="2">
        <v>139</v>
      </c>
      <c r="B153" s="9"/>
      <c r="C153" s="4"/>
      <c r="D153" s="5"/>
      <c r="E153" s="6"/>
      <c r="F153" s="10"/>
      <c r="G153" s="4"/>
      <c r="H153" s="6"/>
    </row>
    <row r="154" spans="1:8" x14ac:dyDescent="0.2">
      <c r="A154" s="2">
        <v>140</v>
      </c>
      <c r="B154" s="9"/>
      <c r="C154" s="4"/>
      <c r="D154" s="5"/>
      <c r="E154" s="6"/>
      <c r="F154" s="10"/>
      <c r="G154" s="4"/>
      <c r="H154" s="6"/>
    </row>
    <row r="155" spans="1:8" x14ac:dyDescent="0.2">
      <c r="A155" s="2">
        <v>141</v>
      </c>
      <c r="B155" s="9"/>
      <c r="C155" s="4"/>
      <c r="D155" s="5"/>
      <c r="E155" s="6"/>
      <c r="F155" s="10"/>
      <c r="G155" s="4"/>
      <c r="H155" s="6"/>
    </row>
    <row r="156" spans="1:8" x14ac:dyDescent="0.2">
      <c r="A156" s="2">
        <v>142</v>
      </c>
      <c r="B156" s="9"/>
      <c r="C156" s="4"/>
      <c r="D156" s="5"/>
      <c r="E156" s="6"/>
      <c r="F156" s="10"/>
      <c r="G156" s="4"/>
      <c r="H156" s="6"/>
    </row>
    <row r="157" spans="1:8" x14ac:dyDescent="0.2">
      <c r="A157" s="2">
        <v>143</v>
      </c>
      <c r="B157" s="9"/>
      <c r="C157" s="4"/>
      <c r="D157" s="5"/>
      <c r="E157" s="6"/>
      <c r="F157" s="10"/>
      <c r="G157" s="4"/>
      <c r="H157" s="6"/>
    </row>
    <row r="158" spans="1:8" x14ac:dyDescent="0.2">
      <c r="A158" s="2">
        <v>144</v>
      </c>
      <c r="B158" s="9"/>
      <c r="C158" s="4"/>
      <c r="D158" s="5"/>
      <c r="E158" s="6"/>
      <c r="F158" s="10"/>
      <c r="G158" s="4"/>
      <c r="H158" s="6"/>
    </row>
    <row r="159" spans="1:8" x14ac:dyDescent="0.2">
      <c r="A159" s="2">
        <v>145</v>
      </c>
      <c r="B159" s="9"/>
      <c r="C159" s="4"/>
      <c r="D159" s="5"/>
      <c r="E159" s="6"/>
      <c r="F159" s="10"/>
      <c r="G159" s="4"/>
      <c r="H159" s="6"/>
    </row>
    <row r="160" spans="1:8" x14ac:dyDescent="0.2">
      <c r="A160" s="2">
        <v>146</v>
      </c>
      <c r="B160" s="9"/>
      <c r="C160" s="4"/>
      <c r="D160" s="5"/>
      <c r="E160" s="6"/>
      <c r="F160" s="10"/>
      <c r="G160" s="4"/>
      <c r="H160" s="6"/>
    </row>
    <row r="161" spans="1:8" x14ac:dyDescent="0.2">
      <c r="A161" s="2">
        <v>147</v>
      </c>
      <c r="B161" s="9"/>
      <c r="C161" s="4"/>
      <c r="D161" s="5"/>
      <c r="E161" s="6"/>
      <c r="F161" s="10"/>
      <c r="G161" s="4"/>
      <c r="H161" s="6"/>
    </row>
    <row r="162" spans="1:8" x14ac:dyDescent="0.2">
      <c r="A162" s="2">
        <v>148</v>
      </c>
      <c r="B162" s="9"/>
      <c r="C162" s="4"/>
      <c r="D162" s="5"/>
      <c r="E162" s="6"/>
      <c r="F162" s="10"/>
      <c r="G162" s="4"/>
      <c r="H162" s="6"/>
    </row>
    <row r="163" spans="1:8" x14ac:dyDescent="0.2">
      <c r="A163" s="2">
        <v>149</v>
      </c>
      <c r="B163" s="9"/>
      <c r="C163" s="4"/>
      <c r="D163" s="5"/>
      <c r="E163" s="6"/>
      <c r="F163" s="10"/>
      <c r="G163" s="4"/>
      <c r="H163" s="6"/>
    </row>
    <row r="164" spans="1:8" x14ac:dyDescent="0.2">
      <c r="A164" s="2">
        <v>150</v>
      </c>
      <c r="B164" s="9"/>
      <c r="C164" s="4"/>
      <c r="D164" s="5"/>
      <c r="E164" s="6"/>
      <c r="F164" s="10"/>
      <c r="G164" s="4"/>
      <c r="H164" s="6"/>
    </row>
    <row r="165" spans="1:8" x14ac:dyDescent="0.2">
      <c r="A165" s="2">
        <v>151</v>
      </c>
      <c r="B165" s="9"/>
      <c r="C165" s="4"/>
      <c r="D165" s="5"/>
      <c r="E165" s="6"/>
      <c r="F165" s="10"/>
      <c r="G165" s="4"/>
      <c r="H165" s="6"/>
    </row>
    <row r="166" spans="1:8" x14ac:dyDescent="0.2">
      <c r="A166" s="2">
        <v>152</v>
      </c>
      <c r="B166" s="9"/>
      <c r="C166" s="4"/>
      <c r="D166" s="5"/>
      <c r="E166" s="6"/>
      <c r="F166" s="10"/>
      <c r="G166" s="4"/>
      <c r="H166" s="6"/>
    </row>
    <row r="167" spans="1:8" x14ac:dyDescent="0.2">
      <c r="A167" s="2">
        <v>153</v>
      </c>
      <c r="B167" s="9"/>
      <c r="C167" s="4"/>
      <c r="D167" s="5"/>
      <c r="E167" s="6"/>
      <c r="F167" s="10"/>
      <c r="G167" s="4"/>
      <c r="H167" s="6"/>
    </row>
    <row r="168" spans="1:8" x14ac:dyDescent="0.2">
      <c r="A168" s="2">
        <v>154</v>
      </c>
      <c r="B168" s="9"/>
      <c r="C168" s="4"/>
      <c r="D168" s="5"/>
      <c r="E168" s="6"/>
      <c r="F168" s="10"/>
      <c r="G168" s="4"/>
      <c r="H168" s="6"/>
    </row>
    <row r="169" spans="1:8" x14ac:dyDescent="0.2">
      <c r="A169" s="2">
        <v>155</v>
      </c>
      <c r="B169" s="9"/>
      <c r="C169" s="4"/>
      <c r="D169" s="5"/>
      <c r="E169" s="6"/>
      <c r="F169" s="10"/>
      <c r="G169" s="4"/>
      <c r="H169" s="6"/>
    </row>
    <row r="170" spans="1:8" x14ac:dyDescent="0.2">
      <c r="A170" s="2">
        <v>156</v>
      </c>
      <c r="B170" s="9"/>
      <c r="C170" s="4"/>
      <c r="D170" s="5"/>
      <c r="E170" s="6"/>
      <c r="F170" s="10"/>
      <c r="G170" s="4"/>
      <c r="H170" s="6"/>
    </row>
    <row r="171" spans="1:8" x14ac:dyDescent="0.2">
      <c r="A171" s="2">
        <v>157</v>
      </c>
      <c r="B171" s="9"/>
      <c r="C171" s="4"/>
      <c r="D171" s="5"/>
      <c r="E171" s="6"/>
      <c r="F171" s="10"/>
      <c r="G171" s="4"/>
      <c r="H171" s="6"/>
    </row>
    <row r="172" spans="1:8" x14ac:dyDescent="0.2">
      <c r="A172" s="2">
        <v>158</v>
      </c>
      <c r="B172" s="9"/>
      <c r="C172" s="4"/>
      <c r="D172" s="5"/>
      <c r="E172" s="6"/>
      <c r="F172" s="10"/>
      <c r="G172" s="4"/>
      <c r="H172" s="6"/>
    </row>
    <row r="173" spans="1:8" x14ac:dyDescent="0.2">
      <c r="A173" s="2">
        <v>159</v>
      </c>
      <c r="B173" s="9"/>
      <c r="C173" s="4"/>
      <c r="D173" s="5"/>
      <c r="E173" s="6"/>
      <c r="F173" s="10"/>
      <c r="G173" s="4"/>
      <c r="H173" s="6"/>
    </row>
    <row r="174" spans="1:8" x14ac:dyDescent="0.2">
      <c r="A174" s="2">
        <v>160</v>
      </c>
      <c r="B174" s="9"/>
      <c r="C174" s="4"/>
      <c r="D174" s="5"/>
      <c r="E174" s="6"/>
      <c r="F174" s="10"/>
      <c r="G174" s="4"/>
      <c r="H174" s="6"/>
    </row>
    <row r="175" spans="1:8" x14ac:dyDescent="0.2">
      <c r="A175" s="2">
        <v>161</v>
      </c>
      <c r="B175" s="9"/>
      <c r="C175" s="4"/>
      <c r="D175" s="5"/>
      <c r="E175" s="6"/>
      <c r="F175" s="10"/>
      <c r="G175" s="4"/>
      <c r="H175" s="6"/>
    </row>
    <row r="176" spans="1:8" x14ac:dyDescent="0.2">
      <c r="A176" s="2">
        <v>162</v>
      </c>
      <c r="B176" s="9"/>
      <c r="C176" s="4"/>
      <c r="D176" s="5"/>
      <c r="E176" s="6"/>
      <c r="F176" s="10"/>
      <c r="G176" s="4"/>
      <c r="H176" s="6"/>
    </row>
    <row r="177" spans="1:8" x14ac:dyDescent="0.2">
      <c r="A177" s="2">
        <v>163</v>
      </c>
      <c r="B177" s="9"/>
      <c r="C177" s="4"/>
      <c r="D177" s="5"/>
      <c r="E177" s="6"/>
      <c r="F177" s="10"/>
      <c r="G177" s="4"/>
      <c r="H177" s="6"/>
    </row>
    <row r="178" spans="1:8" x14ac:dyDescent="0.2">
      <c r="A178" s="2">
        <v>164</v>
      </c>
      <c r="B178" s="9"/>
      <c r="C178" s="4"/>
      <c r="D178" s="5"/>
      <c r="E178" s="6"/>
      <c r="F178" s="10"/>
      <c r="G178" s="4"/>
      <c r="H178" s="6"/>
    </row>
    <row r="179" spans="1:8" x14ac:dyDescent="0.2">
      <c r="A179" s="2">
        <v>165</v>
      </c>
      <c r="B179" s="9"/>
      <c r="C179" s="4"/>
      <c r="D179" s="5"/>
      <c r="E179" s="6"/>
      <c r="F179" s="10"/>
      <c r="G179" s="4"/>
      <c r="H179" s="6"/>
    </row>
    <row r="180" spans="1:8" x14ac:dyDescent="0.2">
      <c r="A180" s="2">
        <v>166</v>
      </c>
      <c r="B180" s="9"/>
      <c r="C180" s="4"/>
      <c r="D180" s="5"/>
      <c r="E180" s="6"/>
      <c r="F180" s="10"/>
      <c r="G180" s="4"/>
      <c r="H180" s="6"/>
    </row>
    <row r="181" spans="1:8" x14ac:dyDescent="0.2">
      <c r="A181" s="2">
        <v>167</v>
      </c>
      <c r="B181" s="9"/>
      <c r="C181" s="4"/>
      <c r="D181" s="5"/>
      <c r="E181" s="6"/>
      <c r="F181" s="10"/>
      <c r="G181" s="4"/>
      <c r="H181" s="6"/>
    </row>
    <row r="182" spans="1:8" x14ac:dyDescent="0.2">
      <c r="A182" s="2">
        <v>168</v>
      </c>
      <c r="B182" s="9"/>
      <c r="C182" s="4"/>
      <c r="D182" s="5"/>
      <c r="E182" s="6"/>
      <c r="F182" s="10"/>
      <c r="G182" s="4"/>
      <c r="H182" s="6"/>
    </row>
    <row r="183" spans="1:8" x14ac:dyDescent="0.2">
      <c r="A183" s="2">
        <v>169</v>
      </c>
      <c r="B183" s="9"/>
      <c r="C183" s="4"/>
      <c r="D183" s="5"/>
      <c r="E183" s="6"/>
      <c r="F183" s="10"/>
      <c r="G183" s="4"/>
      <c r="H183" s="6"/>
    </row>
    <row r="184" spans="1:8" x14ac:dyDescent="0.2">
      <c r="A184" s="2">
        <v>170</v>
      </c>
      <c r="B184" s="9"/>
      <c r="C184" s="4"/>
      <c r="D184" s="5"/>
      <c r="E184" s="6"/>
      <c r="F184" s="10"/>
      <c r="G184" s="4"/>
      <c r="H184" s="6"/>
    </row>
    <row r="185" spans="1:8" x14ac:dyDescent="0.2">
      <c r="A185" s="2">
        <v>171</v>
      </c>
      <c r="B185" s="9"/>
      <c r="C185" s="4"/>
      <c r="D185" s="5"/>
      <c r="E185" s="6"/>
      <c r="F185" s="10"/>
      <c r="G185" s="4"/>
      <c r="H185" s="6"/>
    </row>
    <row r="186" spans="1:8" x14ac:dyDescent="0.2">
      <c r="A186" s="2">
        <v>172</v>
      </c>
      <c r="B186" s="9"/>
      <c r="C186" s="4"/>
      <c r="D186" s="5"/>
      <c r="E186" s="6"/>
      <c r="F186" s="10"/>
      <c r="G186" s="4"/>
      <c r="H186" s="6"/>
    </row>
    <row r="187" spans="1:8" x14ac:dyDescent="0.2">
      <c r="A187" s="2">
        <v>173</v>
      </c>
      <c r="B187" s="9"/>
      <c r="C187" s="4"/>
      <c r="D187" s="5"/>
      <c r="E187" s="6"/>
      <c r="F187" s="10"/>
      <c r="G187" s="4"/>
      <c r="H187" s="6"/>
    </row>
    <row r="188" spans="1:8" x14ac:dyDescent="0.2">
      <c r="A188" s="2">
        <v>174</v>
      </c>
      <c r="B188" s="9"/>
      <c r="C188" s="4"/>
      <c r="D188" s="5"/>
      <c r="E188" s="6"/>
      <c r="F188" s="10"/>
      <c r="G188" s="4"/>
      <c r="H188" s="6"/>
    </row>
    <row r="189" spans="1:8" x14ac:dyDescent="0.2">
      <c r="A189" s="2">
        <v>175</v>
      </c>
      <c r="B189" s="9"/>
      <c r="C189" s="4"/>
      <c r="D189" s="5"/>
      <c r="E189" s="6"/>
      <c r="F189" s="10"/>
      <c r="G189" s="4"/>
      <c r="H189" s="6"/>
    </row>
    <row r="190" spans="1:8" x14ac:dyDescent="0.2">
      <c r="A190" s="2">
        <v>176</v>
      </c>
      <c r="B190" s="9"/>
      <c r="C190" s="4"/>
      <c r="D190" s="5"/>
      <c r="E190" s="6"/>
      <c r="F190" s="10"/>
      <c r="G190" s="4"/>
      <c r="H190" s="6"/>
    </row>
    <row r="191" spans="1:8" x14ac:dyDescent="0.2">
      <c r="A191" s="2">
        <v>177</v>
      </c>
      <c r="B191" s="9"/>
      <c r="C191" s="4"/>
      <c r="D191" s="5"/>
      <c r="E191" s="6"/>
      <c r="F191" s="10"/>
      <c r="G191" s="4"/>
      <c r="H191" s="6"/>
    </row>
    <row r="192" spans="1:8" x14ac:dyDescent="0.2">
      <c r="A192" s="2">
        <v>178</v>
      </c>
      <c r="B192" s="9"/>
      <c r="C192" s="4"/>
      <c r="D192" s="5"/>
      <c r="E192" s="6"/>
      <c r="F192" s="10"/>
      <c r="G192" s="4"/>
      <c r="H192" s="6"/>
    </row>
    <row r="193" spans="1:8" x14ac:dyDescent="0.2">
      <c r="A193" s="2">
        <v>179</v>
      </c>
      <c r="B193" s="9"/>
      <c r="C193" s="4"/>
      <c r="D193" s="5"/>
      <c r="E193" s="6"/>
      <c r="F193" s="10"/>
      <c r="G193" s="4"/>
      <c r="H193" s="6"/>
    </row>
    <row r="194" spans="1:8" x14ac:dyDescent="0.2">
      <c r="A194" s="2">
        <v>180</v>
      </c>
      <c r="B194" s="9"/>
      <c r="C194" s="4"/>
      <c r="D194" s="5"/>
      <c r="E194" s="6"/>
      <c r="F194" s="10"/>
      <c r="G194" s="4"/>
      <c r="H194" s="6"/>
    </row>
    <row r="195" spans="1:8" x14ac:dyDescent="0.2">
      <c r="A195" s="2">
        <v>181</v>
      </c>
      <c r="B195" s="9"/>
      <c r="C195" s="4"/>
      <c r="D195" s="5"/>
      <c r="E195" s="6"/>
      <c r="F195" s="10"/>
      <c r="G195" s="4"/>
      <c r="H195" s="6"/>
    </row>
    <row r="196" spans="1:8" x14ac:dyDescent="0.2">
      <c r="A196" s="2">
        <v>182</v>
      </c>
      <c r="B196" s="9"/>
      <c r="C196" s="4"/>
      <c r="D196" s="5"/>
      <c r="E196" s="6"/>
      <c r="F196" s="10"/>
      <c r="G196" s="4"/>
      <c r="H196" s="6"/>
    </row>
    <row r="197" spans="1:8" x14ac:dyDescent="0.2">
      <c r="A197" s="2">
        <v>183</v>
      </c>
      <c r="B197" s="9"/>
      <c r="C197" s="4"/>
      <c r="D197" s="5"/>
      <c r="E197" s="6"/>
      <c r="F197" s="10"/>
      <c r="G197" s="4"/>
      <c r="H197" s="6"/>
    </row>
    <row r="198" spans="1:8" x14ac:dyDescent="0.2">
      <c r="A198" s="2">
        <v>184</v>
      </c>
      <c r="B198" s="9"/>
      <c r="C198" s="4"/>
      <c r="D198" s="5"/>
      <c r="E198" s="6"/>
      <c r="F198" s="10"/>
      <c r="G198" s="4"/>
      <c r="H198" s="6"/>
    </row>
    <row r="199" spans="1:8" x14ac:dyDescent="0.2">
      <c r="A199" s="2">
        <v>185</v>
      </c>
      <c r="B199" s="9"/>
      <c r="C199" s="4"/>
      <c r="D199" s="5"/>
      <c r="E199" s="6"/>
      <c r="F199" s="10"/>
      <c r="G199" s="4"/>
      <c r="H199" s="6"/>
    </row>
    <row r="200" spans="1:8" x14ac:dyDescent="0.2">
      <c r="A200" s="2">
        <v>186</v>
      </c>
      <c r="B200" s="9"/>
      <c r="C200" s="4"/>
      <c r="D200" s="5"/>
      <c r="E200" s="6"/>
      <c r="F200" s="10"/>
      <c r="G200" s="4"/>
      <c r="H200" s="6"/>
    </row>
    <row r="201" spans="1:8" x14ac:dyDescent="0.2">
      <c r="A201" s="2">
        <v>187</v>
      </c>
      <c r="B201" s="9"/>
      <c r="C201" s="4"/>
      <c r="D201" s="5"/>
      <c r="E201" s="6"/>
      <c r="F201" s="10"/>
      <c r="G201" s="4"/>
      <c r="H201" s="6"/>
    </row>
    <row r="202" spans="1:8" x14ac:dyDescent="0.2">
      <c r="A202" s="2">
        <v>188</v>
      </c>
      <c r="B202" s="9"/>
      <c r="C202" s="4"/>
      <c r="D202" s="5"/>
      <c r="E202" s="6"/>
      <c r="F202" s="10"/>
      <c r="G202" s="4"/>
      <c r="H202" s="6"/>
    </row>
    <row r="203" spans="1:8" x14ac:dyDescent="0.2">
      <c r="A203" s="2">
        <v>189</v>
      </c>
      <c r="B203" s="9"/>
      <c r="C203" s="4"/>
      <c r="D203" s="5"/>
      <c r="E203" s="6"/>
      <c r="F203" s="10"/>
      <c r="G203" s="4"/>
      <c r="H203" s="6"/>
    </row>
    <row r="204" spans="1:8" x14ac:dyDescent="0.2">
      <c r="A204" s="2">
        <v>190</v>
      </c>
      <c r="B204" s="9"/>
      <c r="C204" s="4"/>
      <c r="D204" s="5"/>
      <c r="E204" s="6"/>
      <c r="F204" s="10"/>
      <c r="G204" s="4"/>
      <c r="H204" s="6"/>
    </row>
    <row r="205" spans="1:8" x14ac:dyDescent="0.2">
      <c r="A205" s="2">
        <v>191</v>
      </c>
      <c r="B205" s="9"/>
      <c r="C205" s="4"/>
      <c r="D205" s="5"/>
      <c r="E205" s="6"/>
      <c r="F205" s="10"/>
      <c r="G205" s="4"/>
      <c r="H205" s="6"/>
    </row>
    <row r="206" spans="1:8" x14ac:dyDescent="0.2">
      <c r="A206" s="2">
        <v>192</v>
      </c>
      <c r="B206" s="9"/>
      <c r="C206" s="4"/>
      <c r="D206" s="5"/>
      <c r="E206" s="6"/>
      <c r="F206" s="10"/>
      <c r="G206" s="4"/>
      <c r="H206" s="6"/>
    </row>
    <row r="207" spans="1:8" x14ac:dyDescent="0.2">
      <c r="A207" s="2">
        <v>193</v>
      </c>
      <c r="B207" s="9"/>
      <c r="C207" s="4"/>
      <c r="D207" s="5"/>
      <c r="E207" s="6"/>
      <c r="F207" s="10"/>
      <c r="G207" s="4"/>
      <c r="H207" s="6"/>
    </row>
    <row r="208" spans="1:8" x14ac:dyDescent="0.2">
      <c r="A208" s="2">
        <v>194</v>
      </c>
      <c r="B208" s="9"/>
      <c r="C208" s="4"/>
      <c r="D208" s="5"/>
      <c r="E208" s="6"/>
      <c r="F208" s="10"/>
      <c r="G208" s="4"/>
      <c r="H208" s="6"/>
    </row>
    <row r="209" spans="1:8" x14ac:dyDescent="0.2">
      <c r="A209" s="2">
        <v>195</v>
      </c>
      <c r="B209" s="9"/>
      <c r="C209" s="4"/>
      <c r="D209" s="5"/>
      <c r="E209" s="6"/>
      <c r="F209" s="10"/>
      <c r="G209" s="4"/>
      <c r="H209" s="6"/>
    </row>
    <row r="210" spans="1:8" x14ac:dyDescent="0.2">
      <c r="A210" s="2">
        <v>196</v>
      </c>
      <c r="B210" s="9"/>
      <c r="C210" s="4"/>
      <c r="D210" s="5"/>
      <c r="E210" s="6"/>
      <c r="F210" s="10"/>
      <c r="G210" s="4"/>
      <c r="H210" s="6"/>
    </row>
    <row r="211" spans="1:8" x14ac:dyDescent="0.2">
      <c r="A211" s="2">
        <v>197</v>
      </c>
      <c r="B211" s="9"/>
      <c r="C211" s="4"/>
      <c r="D211" s="5"/>
      <c r="E211" s="6"/>
      <c r="F211" s="10"/>
      <c r="G211" s="4"/>
      <c r="H211" s="6"/>
    </row>
    <row r="212" spans="1:8" x14ac:dyDescent="0.2">
      <c r="A212" s="2">
        <v>198</v>
      </c>
      <c r="B212" s="9"/>
      <c r="C212" s="4"/>
      <c r="D212" s="5"/>
      <c r="E212" s="6"/>
      <c r="F212" s="10"/>
      <c r="G212" s="4"/>
      <c r="H212" s="6"/>
    </row>
    <row r="213" spans="1:8" x14ac:dyDescent="0.2">
      <c r="A213" s="2">
        <v>199</v>
      </c>
      <c r="B213" s="9"/>
      <c r="C213" s="4"/>
      <c r="D213" s="5"/>
      <c r="E213" s="6"/>
      <c r="F213" s="10"/>
      <c r="G213" s="4"/>
      <c r="H213" s="6"/>
    </row>
    <row r="214" spans="1:8" x14ac:dyDescent="0.2">
      <c r="A214" s="2">
        <v>200</v>
      </c>
      <c r="B214" s="9"/>
      <c r="C214" s="4"/>
      <c r="D214" s="5"/>
      <c r="E214" s="6"/>
      <c r="F214" s="10"/>
      <c r="G214" s="4"/>
      <c r="H214" s="6"/>
    </row>
    <row r="215" spans="1:8" x14ac:dyDescent="0.2">
      <c r="A215" s="2">
        <v>201</v>
      </c>
      <c r="B215" s="9"/>
      <c r="C215" s="4"/>
      <c r="D215" s="5"/>
      <c r="E215" s="6"/>
      <c r="F215" s="10"/>
      <c r="G215" s="4"/>
      <c r="H215" s="6"/>
    </row>
    <row r="216" spans="1:8" x14ac:dyDescent="0.2">
      <c r="A216" s="2">
        <v>202</v>
      </c>
      <c r="B216" s="9"/>
      <c r="C216" s="4"/>
      <c r="D216" s="5"/>
      <c r="E216" s="6"/>
      <c r="F216" s="10"/>
      <c r="G216" s="4"/>
      <c r="H216" s="6"/>
    </row>
    <row r="217" spans="1:8" x14ac:dyDescent="0.2">
      <c r="A217" s="2">
        <v>203</v>
      </c>
      <c r="B217" s="9"/>
      <c r="C217" s="4"/>
      <c r="D217" s="5"/>
      <c r="E217" s="6"/>
      <c r="F217" s="10"/>
      <c r="G217" s="4"/>
      <c r="H217" s="6"/>
    </row>
    <row r="218" spans="1:8" x14ac:dyDescent="0.2">
      <c r="A218" s="2">
        <v>204</v>
      </c>
      <c r="B218" s="9"/>
      <c r="C218" s="4"/>
      <c r="D218" s="5"/>
      <c r="E218" s="6"/>
      <c r="F218" s="10"/>
      <c r="G218" s="4"/>
      <c r="H218" s="6"/>
    </row>
    <row r="219" spans="1:8" x14ac:dyDescent="0.2">
      <c r="A219" s="2">
        <v>205</v>
      </c>
      <c r="B219" s="9"/>
      <c r="C219" s="4"/>
      <c r="D219" s="5"/>
      <c r="E219" s="6"/>
      <c r="F219" s="10"/>
      <c r="G219" s="4"/>
      <c r="H219" s="6"/>
    </row>
    <row r="220" spans="1:8" x14ac:dyDescent="0.2">
      <c r="A220" s="2">
        <v>206</v>
      </c>
      <c r="B220" s="9"/>
      <c r="C220" s="4"/>
      <c r="D220" s="5"/>
      <c r="E220" s="6"/>
      <c r="F220" s="10"/>
      <c r="G220" s="4"/>
      <c r="H220" s="6"/>
    </row>
    <row r="221" spans="1:8" x14ac:dyDescent="0.2">
      <c r="A221" s="2">
        <v>207</v>
      </c>
      <c r="B221" s="9"/>
      <c r="C221" s="4"/>
      <c r="D221" s="5"/>
      <c r="E221" s="6"/>
      <c r="F221" s="10"/>
      <c r="G221" s="4"/>
      <c r="H221" s="6"/>
    </row>
    <row r="222" spans="1:8" x14ac:dyDescent="0.2">
      <c r="A222" s="2">
        <v>208</v>
      </c>
      <c r="B222" s="9"/>
      <c r="C222" s="4"/>
      <c r="D222" s="5"/>
      <c r="E222" s="6"/>
      <c r="F222" s="10"/>
      <c r="G222" s="4"/>
      <c r="H222" s="6"/>
    </row>
    <row r="223" spans="1:8" x14ac:dyDescent="0.2">
      <c r="A223" s="2">
        <v>209</v>
      </c>
      <c r="B223" s="9"/>
      <c r="C223" s="4"/>
      <c r="D223" s="5"/>
      <c r="E223" s="6"/>
      <c r="F223" s="10"/>
      <c r="G223" s="4"/>
      <c r="H223" s="6"/>
    </row>
    <row r="224" spans="1:8" x14ac:dyDescent="0.2">
      <c r="A224" s="2">
        <v>210</v>
      </c>
      <c r="B224" s="9"/>
      <c r="C224" s="4"/>
      <c r="D224" s="5"/>
      <c r="E224" s="6"/>
      <c r="F224" s="10"/>
      <c r="G224" s="4"/>
      <c r="H224" s="6"/>
    </row>
    <row r="225" spans="1:8" x14ac:dyDescent="0.2">
      <c r="A225" s="2">
        <v>211</v>
      </c>
      <c r="B225" s="9"/>
      <c r="C225" s="4"/>
      <c r="D225" s="5"/>
      <c r="E225" s="6"/>
      <c r="F225" s="10"/>
      <c r="G225" s="4"/>
      <c r="H225" s="6"/>
    </row>
    <row r="226" spans="1:8" x14ac:dyDescent="0.2">
      <c r="A226" s="2">
        <v>212</v>
      </c>
      <c r="B226" s="9"/>
      <c r="C226" s="4"/>
      <c r="D226" s="5"/>
      <c r="E226" s="6"/>
      <c r="F226" s="10"/>
      <c r="G226" s="4"/>
      <c r="H226" s="6"/>
    </row>
    <row r="227" spans="1:8" x14ac:dyDescent="0.2">
      <c r="A227" s="2">
        <v>213</v>
      </c>
      <c r="B227" s="9"/>
      <c r="C227" s="4"/>
      <c r="D227" s="5"/>
      <c r="E227" s="6"/>
      <c r="F227" s="10"/>
      <c r="G227" s="4"/>
      <c r="H227" s="6"/>
    </row>
    <row r="228" spans="1:8" x14ac:dyDescent="0.2">
      <c r="A228" s="2">
        <v>214</v>
      </c>
      <c r="B228" s="9"/>
      <c r="C228" s="4"/>
      <c r="D228" s="5"/>
      <c r="E228" s="6"/>
      <c r="F228" s="10"/>
      <c r="G228" s="4"/>
      <c r="H228" s="6"/>
    </row>
    <row r="229" spans="1:8" x14ac:dyDescent="0.2">
      <c r="A229" s="2">
        <v>215</v>
      </c>
      <c r="B229" s="9"/>
      <c r="C229" s="4"/>
      <c r="D229" s="5"/>
      <c r="E229" s="6"/>
      <c r="F229" s="10"/>
      <c r="G229" s="4"/>
      <c r="H229" s="6"/>
    </row>
    <row r="230" spans="1:8" x14ac:dyDescent="0.2">
      <c r="A230" s="2">
        <v>216</v>
      </c>
      <c r="B230" s="9"/>
      <c r="C230" s="4"/>
      <c r="D230" s="5"/>
      <c r="E230" s="6"/>
      <c r="F230" s="10"/>
      <c r="G230" s="4"/>
      <c r="H230" s="6"/>
    </row>
    <row r="231" spans="1:8" x14ac:dyDescent="0.2">
      <c r="A231" s="2">
        <v>217</v>
      </c>
      <c r="B231" s="9"/>
      <c r="C231" s="4"/>
      <c r="D231" s="5"/>
      <c r="E231" s="6"/>
      <c r="F231" s="10"/>
      <c r="G231" s="4"/>
      <c r="H231" s="6"/>
    </row>
    <row r="232" spans="1:8" x14ac:dyDescent="0.2">
      <c r="A232" s="2">
        <v>218</v>
      </c>
      <c r="B232" s="9"/>
      <c r="C232" s="4"/>
      <c r="D232" s="5"/>
      <c r="E232" s="6"/>
      <c r="F232" s="10"/>
      <c r="G232" s="4"/>
      <c r="H232" s="6"/>
    </row>
    <row r="233" spans="1:8" x14ac:dyDescent="0.2">
      <c r="A233" s="2">
        <v>219</v>
      </c>
      <c r="B233" s="9"/>
      <c r="C233" s="4"/>
      <c r="D233" s="5"/>
      <c r="E233" s="6"/>
      <c r="F233" s="10"/>
      <c r="G233" s="4"/>
      <c r="H233" s="6"/>
    </row>
    <row r="234" spans="1:8" x14ac:dyDescent="0.2">
      <c r="A234" s="2">
        <v>220</v>
      </c>
      <c r="B234" s="9"/>
      <c r="C234" s="4"/>
      <c r="D234" s="5"/>
      <c r="E234" s="6"/>
      <c r="F234" s="10"/>
      <c r="G234" s="4"/>
      <c r="H234" s="6"/>
    </row>
    <row r="235" spans="1:8" x14ac:dyDescent="0.2">
      <c r="A235" s="2">
        <v>221</v>
      </c>
      <c r="B235" s="9"/>
      <c r="C235" s="4"/>
      <c r="D235" s="5"/>
      <c r="E235" s="6"/>
      <c r="F235" s="10"/>
      <c r="G235" s="4"/>
      <c r="H235" s="6"/>
    </row>
    <row r="236" spans="1:8" x14ac:dyDescent="0.2">
      <c r="A236" s="2">
        <v>222</v>
      </c>
      <c r="B236" s="9"/>
      <c r="C236" s="4"/>
      <c r="D236" s="5"/>
      <c r="E236" s="6"/>
      <c r="F236" s="10"/>
      <c r="G236" s="4"/>
      <c r="H236" s="6"/>
    </row>
    <row r="237" spans="1:8" x14ac:dyDescent="0.2">
      <c r="A237" s="2">
        <v>223</v>
      </c>
      <c r="B237" s="9"/>
      <c r="C237" s="4"/>
      <c r="D237" s="5"/>
      <c r="E237" s="6"/>
      <c r="F237" s="10"/>
      <c r="G237" s="4"/>
      <c r="H237" s="6"/>
    </row>
    <row r="238" spans="1:8" x14ac:dyDescent="0.2">
      <c r="A238" s="2">
        <v>224</v>
      </c>
      <c r="B238" s="9"/>
      <c r="C238" s="4"/>
      <c r="D238" s="5"/>
      <c r="E238" s="6"/>
      <c r="F238" s="10"/>
      <c r="G238" s="4"/>
      <c r="H238" s="6"/>
    </row>
    <row r="239" spans="1:8" x14ac:dyDescent="0.2">
      <c r="A239" s="2">
        <v>225</v>
      </c>
      <c r="B239" s="9"/>
      <c r="C239" s="4"/>
      <c r="D239" s="5"/>
      <c r="E239" s="6"/>
      <c r="F239" s="10"/>
      <c r="G239" s="4"/>
      <c r="H239" s="6"/>
    </row>
    <row r="240" spans="1:8" x14ac:dyDescent="0.2">
      <c r="A240" s="2">
        <v>226</v>
      </c>
      <c r="B240" s="9"/>
      <c r="C240" s="4"/>
      <c r="D240" s="5"/>
      <c r="E240" s="6"/>
      <c r="F240" s="10"/>
      <c r="G240" s="4"/>
      <c r="H240" s="6"/>
    </row>
    <row r="241" spans="1:8" x14ac:dyDescent="0.2">
      <c r="A241" s="2">
        <v>227</v>
      </c>
      <c r="B241" s="9"/>
      <c r="C241" s="4"/>
      <c r="D241" s="5"/>
      <c r="E241" s="6"/>
      <c r="F241" s="10"/>
      <c r="G241" s="4"/>
      <c r="H241" s="6"/>
    </row>
    <row r="242" spans="1:8" x14ac:dyDescent="0.2">
      <c r="A242" s="2">
        <v>228</v>
      </c>
      <c r="B242" s="9"/>
      <c r="C242" s="4"/>
      <c r="D242" s="5"/>
      <c r="E242" s="6"/>
      <c r="F242" s="10"/>
      <c r="G242" s="4"/>
      <c r="H242" s="6"/>
    </row>
    <row r="243" spans="1:8" x14ac:dyDescent="0.2">
      <c r="A243" s="2">
        <v>229</v>
      </c>
      <c r="B243" s="9"/>
      <c r="C243" s="4"/>
      <c r="D243" s="5"/>
      <c r="E243" s="6"/>
      <c r="F243" s="10"/>
      <c r="G243" s="4"/>
      <c r="H243" s="6"/>
    </row>
    <row r="244" spans="1:8" x14ac:dyDescent="0.2">
      <c r="A244" s="2">
        <v>230</v>
      </c>
      <c r="B244" s="9"/>
      <c r="C244" s="4"/>
      <c r="D244" s="5"/>
      <c r="E244" s="6"/>
      <c r="F244" s="10"/>
      <c r="G244" s="4"/>
      <c r="H244" s="6"/>
    </row>
    <row r="245" spans="1:8" x14ac:dyDescent="0.2">
      <c r="A245" s="2">
        <v>231</v>
      </c>
      <c r="B245" s="9"/>
      <c r="C245" s="4"/>
      <c r="D245" s="5"/>
      <c r="E245" s="6"/>
      <c r="F245" s="10"/>
      <c r="G245" s="4"/>
      <c r="H245" s="6"/>
    </row>
    <row r="246" spans="1:8" x14ac:dyDescent="0.2">
      <c r="A246" s="2">
        <v>232</v>
      </c>
      <c r="B246" s="9"/>
      <c r="C246" s="4"/>
      <c r="D246" s="5"/>
      <c r="E246" s="6"/>
      <c r="F246" s="10"/>
      <c r="G246" s="4"/>
      <c r="H246" s="6"/>
    </row>
    <row r="247" spans="1:8" x14ac:dyDescent="0.2">
      <c r="A247" s="2">
        <v>233</v>
      </c>
      <c r="B247" s="9"/>
      <c r="C247" s="4"/>
      <c r="D247" s="5"/>
      <c r="E247" s="6"/>
      <c r="F247" s="10"/>
      <c r="G247" s="4"/>
      <c r="H247" s="6"/>
    </row>
    <row r="248" spans="1:8" x14ac:dyDescent="0.2">
      <c r="A248" s="2">
        <v>234</v>
      </c>
      <c r="B248" s="9"/>
      <c r="C248" s="4"/>
      <c r="D248" s="5"/>
      <c r="E248" s="6"/>
      <c r="F248" s="10"/>
      <c r="G248" s="4"/>
      <c r="H248" s="6"/>
    </row>
    <row r="249" spans="1:8" x14ac:dyDescent="0.2">
      <c r="A249" s="2">
        <v>235</v>
      </c>
      <c r="B249" s="9"/>
      <c r="C249" s="4"/>
      <c r="D249" s="5"/>
      <c r="E249" s="6"/>
      <c r="F249" s="10"/>
      <c r="G249" s="4"/>
      <c r="H249" s="6"/>
    </row>
    <row r="250" spans="1:8" x14ac:dyDescent="0.2">
      <c r="A250" s="2">
        <v>236</v>
      </c>
      <c r="B250" s="9"/>
      <c r="C250" s="4"/>
      <c r="D250" s="5"/>
      <c r="E250" s="6"/>
      <c r="F250" s="10"/>
      <c r="G250" s="4"/>
      <c r="H250" s="6"/>
    </row>
    <row r="251" spans="1:8" x14ac:dyDescent="0.2">
      <c r="A251" s="2">
        <v>237</v>
      </c>
      <c r="B251" s="9"/>
      <c r="C251" s="4"/>
      <c r="D251" s="5"/>
      <c r="E251" s="6"/>
      <c r="F251" s="10"/>
      <c r="G251" s="4"/>
      <c r="H251" s="6"/>
    </row>
    <row r="252" spans="1:8" x14ac:dyDescent="0.2">
      <c r="A252" s="2">
        <v>238</v>
      </c>
      <c r="B252" s="9"/>
      <c r="C252" s="4"/>
      <c r="D252" s="5"/>
      <c r="E252" s="6"/>
      <c r="F252" s="10"/>
      <c r="G252" s="4"/>
      <c r="H252" s="6"/>
    </row>
    <row r="253" spans="1:8" x14ac:dyDescent="0.2">
      <c r="A253" s="2">
        <v>239</v>
      </c>
      <c r="B253" s="9"/>
      <c r="C253" s="4"/>
      <c r="D253" s="5"/>
      <c r="E253" s="6"/>
      <c r="F253" s="10"/>
      <c r="G253" s="4"/>
      <c r="H253" s="6"/>
    </row>
    <row r="254" spans="1:8" x14ac:dyDescent="0.2">
      <c r="A254" s="2">
        <v>240</v>
      </c>
      <c r="B254" s="9"/>
      <c r="C254" s="4"/>
      <c r="D254" s="5"/>
      <c r="E254" s="6"/>
      <c r="F254" s="10"/>
      <c r="G254" s="4"/>
      <c r="H254" s="6"/>
    </row>
    <row r="255" spans="1:8" x14ac:dyDescent="0.2">
      <c r="A255" s="2">
        <v>241</v>
      </c>
      <c r="B255" s="9"/>
      <c r="C255" s="4"/>
      <c r="D255" s="5"/>
      <c r="E255" s="6"/>
      <c r="F255" s="10"/>
      <c r="G255" s="4"/>
      <c r="H255" s="6"/>
    </row>
    <row r="256" spans="1:8" x14ac:dyDescent="0.2">
      <c r="A256" s="2">
        <v>242</v>
      </c>
      <c r="B256" s="9"/>
      <c r="C256" s="4"/>
      <c r="D256" s="5"/>
      <c r="E256" s="6"/>
      <c r="F256" s="10"/>
      <c r="G256" s="4"/>
      <c r="H256" s="6"/>
    </row>
    <row r="257" spans="1:8" x14ac:dyDescent="0.2">
      <c r="A257" s="2">
        <v>243</v>
      </c>
      <c r="B257" s="9"/>
      <c r="C257" s="4"/>
      <c r="D257" s="5"/>
      <c r="E257" s="6"/>
      <c r="F257" s="10"/>
      <c r="G257" s="4"/>
      <c r="H257" s="6"/>
    </row>
    <row r="258" spans="1:8" x14ac:dyDescent="0.2">
      <c r="A258" s="2">
        <v>244</v>
      </c>
      <c r="B258" s="9"/>
      <c r="C258" s="4"/>
      <c r="D258" s="5"/>
      <c r="E258" s="6"/>
      <c r="F258" s="10"/>
      <c r="G258" s="4"/>
      <c r="H258" s="6"/>
    </row>
    <row r="259" spans="1:8" x14ac:dyDescent="0.2">
      <c r="A259" s="2">
        <v>245</v>
      </c>
      <c r="B259" s="9"/>
      <c r="C259" s="4"/>
      <c r="D259" s="5"/>
      <c r="E259" s="6"/>
      <c r="F259" s="10"/>
      <c r="G259" s="4"/>
      <c r="H259" s="6"/>
    </row>
    <row r="260" spans="1:8" x14ac:dyDescent="0.2">
      <c r="A260" s="2">
        <v>246</v>
      </c>
      <c r="B260" s="9"/>
      <c r="C260" s="4"/>
      <c r="D260" s="5"/>
      <c r="E260" s="6"/>
      <c r="F260" s="10"/>
      <c r="G260" s="4"/>
      <c r="H260" s="6"/>
    </row>
    <row r="261" spans="1:8" x14ac:dyDescent="0.2">
      <c r="A261" s="2">
        <v>247</v>
      </c>
      <c r="B261" s="9"/>
      <c r="C261" s="4"/>
      <c r="D261" s="5"/>
      <c r="E261" s="6"/>
      <c r="F261" s="10"/>
      <c r="G261" s="4"/>
      <c r="H261" s="6"/>
    </row>
    <row r="262" spans="1:8" x14ac:dyDescent="0.2">
      <c r="A262" s="2">
        <v>248</v>
      </c>
      <c r="B262" s="9"/>
      <c r="C262" s="4"/>
      <c r="D262" s="5"/>
      <c r="E262" s="6"/>
      <c r="F262" s="10"/>
      <c r="G262" s="4"/>
      <c r="H262" s="6"/>
    </row>
    <row r="263" spans="1:8" x14ac:dyDescent="0.2">
      <c r="A263" s="2">
        <v>249</v>
      </c>
      <c r="B263" s="9"/>
      <c r="C263" s="4"/>
      <c r="D263" s="5"/>
      <c r="E263" s="6"/>
      <c r="F263" s="10"/>
      <c r="G263" s="4"/>
      <c r="H263" s="6"/>
    </row>
    <row r="264" spans="1:8" x14ac:dyDescent="0.2">
      <c r="A264" s="2">
        <v>250</v>
      </c>
      <c r="B264" s="9"/>
      <c r="C264" s="4"/>
      <c r="D264" s="5"/>
      <c r="E264" s="6"/>
      <c r="F264" s="10"/>
      <c r="G264" s="4"/>
      <c r="H264" s="6"/>
    </row>
    <row r="265" spans="1:8" x14ac:dyDescent="0.2">
      <c r="A265" s="2">
        <v>251</v>
      </c>
      <c r="B265" s="9"/>
      <c r="C265" s="4"/>
      <c r="D265" s="5"/>
      <c r="E265" s="6"/>
      <c r="F265" s="10"/>
      <c r="G265" s="4"/>
      <c r="H265" s="6"/>
    </row>
    <row r="266" spans="1:8" x14ac:dyDescent="0.2">
      <c r="A266" s="2">
        <v>252</v>
      </c>
      <c r="B266" s="9"/>
      <c r="C266" s="4"/>
      <c r="D266" s="5"/>
      <c r="E266" s="6"/>
      <c r="F266" s="10"/>
      <c r="G266" s="4"/>
      <c r="H266" s="6"/>
    </row>
    <row r="267" spans="1:8" x14ac:dyDescent="0.2">
      <c r="A267" s="2">
        <v>253</v>
      </c>
      <c r="B267" s="9"/>
      <c r="C267" s="4"/>
      <c r="D267" s="5"/>
      <c r="E267" s="6"/>
      <c r="F267" s="10"/>
      <c r="G267" s="4"/>
      <c r="H267" s="6"/>
    </row>
    <row r="268" spans="1:8" x14ac:dyDescent="0.2">
      <c r="A268" s="2">
        <v>254</v>
      </c>
      <c r="B268" s="9"/>
      <c r="C268" s="4"/>
      <c r="D268" s="5"/>
      <c r="E268" s="6"/>
      <c r="F268" s="10"/>
      <c r="G268" s="4"/>
      <c r="H268" s="6"/>
    </row>
    <row r="269" spans="1:8" x14ac:dyDescent="0.2">
      <c r="A269" s="2">
        <v>255</v>
      </c>
      <c r="B269" s="9"/>
      <c r="C269" s="4"/>
      <c r="D269" s="5"/>
      <c r="E269" s="6"/>
      <c r="F269" s="10"/>
      <c r="G269" s="4"/>
      <c r="H269" s="6"/>
    </row>
    <row r="270" spans="1:8" x14ac:dyDescent="0.2">
      <c r="A270" s="2">
        <v>256</v>
      </c>
      <c r="B270" s="9"/>
      <c r="C270" s="4"/>
      <c r="D270" s="5"/>
      <c r="E270" s="6"/>
      <c r="F270" s="10"/>
      <c r="G270" s="4"/>
      <c r="H270" s="6"/>
    </row>
    <row r="271" spans="1:8" x14ac:dyDescent="0.2">
      <c r="A271" s="2">
        <v>257</v>
      </c>
      <c r="B271" s="9"/>
      <c r="C271" s="4"/>
      <c r="D271" s="5"/>
      <c r="E271" s="6"/>
      <c r="F271" s="10"/>
      <c r="G271" s="4"/>
      <c r="H271" s="6"/>
    </row>
    <row r="272" spans="1:8" x14ac:dyDescent="0.2">
      <c r="A272" s="2">
        <v>258</v>
      </c>
      <c r="B272" s="9"/>
      <c r="C272" s="4"/>
      <c r="D272" s="5"/>
      <c r="E272" s="6"/>
      <c r="F272" s="10"/>
      <c r="G272" s="4"/>
      <c r="H272" s="6"/>
    </row>
    <row r="273" spans="1:8" x14ac:dyDescent="0.2">
      <c r="A273" s="2">
        <v>259</v>
      </c>
      <c r="B273" s="9"/>
      <c r="C273" s="4"/>
      <c r="D273" s="5"/>
      <c r="E273" s="6"/>
      <c r="F273" s="10"/>
      <c r="G273" s="4"/>
      <c r="H273" s="6"/>
    </row>
    <row r="274" spans="1:8" x14ac:dyDescent="0.2">
      <c r="A274" s="2">
        <v>260</v>
      </c>
      <c r="B274" s="9"/>
      <c r="C274" s="4"/>
      <c r="D274" s="5"/>
      <c r="E274" s="6"/>
      <c r="F274" s="10"/>
      <c r="G274" s="4"/>
      <c r="H274" s="6"/>
    </row>
    <row r="275" spans="1:8" x14ac:dyDescent="0.2">
      <c r="A275" s="2">
        <v>261</v>
      </c>
      <c r="B275" s="9"/>
      <c r="C275" s="4"/>
      <c r="D275" s="5"/>
      <c r="E275" s="6"/>
      <c r="F275" s="10"/>
      <c r="G275" s="4"/>
      <c r="H275" s="6"/>
    </row>
    <row r="276" spans="1:8" x14ac:dyDescent="0.2">
      <c r="A276" s="2">
        <v>262</v>
      </c>
      <c r="B276" s="9"/>
      <c r="C276" s="4"/>
      <c r="D276" s="5"/>
      <c r="E276" s="6"/>
      <c r="F276" s="10"/>
      <c r="G276" s="4"/>
      <c r="H276" s="6"/>
    </row>
    <row r="277" spans="1:8" x14ac:dyDescent="0.2">
      <c r="A277" s="2">
        <v>263</v>
      </c>
      <c r="B277" s="9"/>
      <c r="C277" s="4"/>
      <c r="D277" s="5"/>
      <c r="E277" s="6"/>
      <c r="F277" s="10"/>
      <c r="G277" s="4"/>
      <c r="H277" s="6"/>
    </row>
    <row r="278" spans="1:8" x14ac:dyDescent="0.2">
      <c r="A278" s="2">
        <v>264</v>
      </c>
      <c r="B278" s="9"/>
      <c r="C278" s="4"/>
      <c r="D278" s="5"/>
      <c r="E278" s="6"/>
      <c r="F278" s="10"/>
      <c r="G278" s="4"/>
      <c r="H278" s="6"/>
    </row>
    <row r="279" spans="1:8" x14ac:dyDescent="0.2">
      <c r="A279" s="2">
        <v>265</v>
      </c>
      <c r="B279" s="9"/>
      <c r="C279" s="4"/>
      <c r="D279" s="5"/>
      <c r="E279" s="6"/>
      <c r="F279" s="10"/>
      <c r="G279" s="4"/>
      <c r="H279" s="6"/>
    </row>
    <row r="280" spans="1:8" x14ac:dyDescent="0.2">
      <c r="A280" s="2">
        <v>266</v>
      </c>
      <c r="B280" s="9"/>
      <c r="C280" s="4"/>
      <c r="D280" s="5"/>
      <c r="E280" s="6"/>
      <c r="F280" s="10"/>
      <c r="G280" s="4"/>
      <c r="H280" s="6"/>
    </row>
    <row r="281" spans="1:8" x14ac:dyDescent="0.2">
      <c r="A281" s="2">
        <v>267</v>
      </c>
      <c r="B281" s="9"/>
      <c r="C281" s="4"/>
      <c r="D281" s="5"/>
      <c r="E281" s="6"/>
      <c r="F281" s="10"/>
      <c r="G281" s="4"/>
      <c r="H281" s="6"/>
    </row>
    <row r="282" spans="1:8" x14ac:dyDescent="0.2">
      <c r="A282" s="2">
        <v>268</v>
      </c>
      <c r="B282" s="9"/>
      <c r="C282" s="4"/>
      <c r="D282" s="5"/>
      <c r="E282" s="6"/>
      <c r="F282" s="10"/>
      <c r="G282" s="4"/>
      <c r="H282" s="6"/>
    </row>
    <row r="283" spans="1:8" x14ac:dyDescent="0.2">
      <c r="A283" s="2">
        <v>269</v>
      </c>
      <c r="B283" s="9"/>
      <c r="C283" s="4"/>
      <c r="D283" s="5"/>
      <c r="E283" s="6"/>
      <c r="F283" s="10"/>
      <c r="G283" s="4"/>
      <c r="H283" s="6"/>
    </row>
    <row r="284" spans="1:8" x14ac:dyDescent="0.2">
      <c r="A284" s="2">
        <v>270</v>
      </c>
      <c r="B284" s="9"/>
      <c r="C284" s="4"/>
      <c r="D284" s="5"/>
      <c r="E284" s="6"/>
      <c r="F284" s="10"/>
      <c r="G284" s="4"/>
      <c r="H284" s="6"/>
    </row>
    <row r="285" spans="1:8" x14ac:dyDescent="0.2">
      <c r="A285" s="2">
        <v>271</v>
      </c>
      <c r="B285" s="9"/>
      <c r="C285" s="4"/>
      <c r="D285" s="5"/>
      <c r="E285" s="6"/>
      <c r="F285" s="10"/>
      <c r="G285" s="4"/>
      <c r="H285" s="6"/>
    </row>
    <row r="286" spans="1:8" x14ac:dyDescent="0.2">
      <c r="A286" s="2">
        <v>272</v>
      </c>
      <c r="B286" s="9"/>
      <c r="C286" s="4"/>
      <c r="D286" s="5"/>
      <c r="E286" s="6"/>
      <c r="F286" s="10"/>
      <c r="G286" s="4"/>
      <c r="H286" s="6"/>
    </row>
    <row r="287" spans="1:8" x14ac:dyDescent="0.2">
      <c r="A287" s="2">
        <v>273</v>
      </c>
      <c r="B287" s="9"/>
      <c r="C287" s="4"/>
      <c r="D287" s="5"/>
      <c r="E287" s="6"/>
      <c r="F287" s="10"/>
      <c r="G287" s="4"/>
      <c r="H287" s="6"/>
    </row>
    <row r="288" spans="1:8" x14ac:dyDescent="0.2">
      <c r="A288" s="2">
        <v>274</v>
      </c>
      <c r="B288" s="9"/>
      <c r="C288" s="4"/>
      <c r="D288" s="5"/>
      <c r="E288" s="6"/>
      <c r="F288" s="10"/>
      <c r="G288" s="4"/>
      <c r="H288" s="6"/>
    </row>
    <row r="289" spans="1:8" x14ac:dyDescent="0.2">
      <c r="A289" s="2">
        <v>275</v>
      </c>
      <c r="B289" s="9"/>
      <c r="C289" s="4"/>
      <c r="D289" s="5"/>
      <c r="E289" s="6"/>
      <c r="F289" s="10"/>
      <c r="G289" s="4"/>
      <c r="H289" s="6"/>
    </row>
    <row r="290" spans="1:8" x14ac:dyDescent="0.2">
      <c r="A290" s="2">
        <v>276</v>
      </c>
      <c r="B290" s="9"/>
      <c r="C290" s="4"/>
      <c r="D290" s="5"/>
      <c r="E290" s="6"/>
      <c r="F290" s="10"/>
      <c r="G290" s="4"/>
      <c r="H290" s="6"/>
    </row>
    <row r="291" spans="1:8" x14ac:dyDescent="0.2">
      <c r="A291" s="2">
        <v>277</v>
      </c>
      <c r="B291" s="9"/>
      <c r="C291" s="4"/>
      <c r="D291" s="5"/>
      <c r="E291" s="6"/>
      <c r="F291" s="10"/>
      <c r="G291" s="4"/>
      <c r="H291" s="6"/>
    </row>
    <row r="292" spans="1:8" x14ac:dyDescent="0.2">
      <c r="A292" s="2">
        <v>278</v>
      </c>
      <c r="B292" s="9"/>
      <c r="C292" s="4"/>
      <c r="D292" s="5"/>
      <c r="E292" s="6"/>
      <c r="F292" s="10"/>
      <c r="G292" s="4"/>
      <c r="H292" s="6"/>
    </row>
    <row r="293" spans="1:8" x14ac:dyDescent="0.2">
      <c r="A293" s="2">
        <v>279</v>
      </c>
      <c r="B293" s="9"/>
      <c r="C293" s="4"/>
      <c r="D293" s="5"/>
      <c r="E293" s="6"/>
      <c r="F293" s="10"/>
      <c r="G293" s="4"/>
      <c r="H293" s="6"/>
    </row>
    <row r="294" spans="1:8" x14ac:dyDescent="0.2">
      <c r="A294" s="2">
        <v>280</v>
      </c>
      <c r="B294" s="9"/>
      <c r="C294" s="4"/>
      <c r="D294" s="5"/>
      <c r="E294" s="6"/>
      <c r="F294" s="10"/>
      <c r="G294" s="4"/>
      <c r="H294" s="6"/>
    </row>
    <row r="295" spans="1:8" x14ac:dyDescent="0.2">
      <c r="A295" s="2">
        <v>281</v>
      </c>
      <c r="B295" s="9"/>
      <c r="C295" s="4"/>
      <c r="D295" s="5"/>
      <c r="E295" s="6"/>
      <c r="F295" s="10"/>
      <c r="G295" s="4"/>
      <c r="H295" s="6"/>
    </row>
    <row r="296" spans="1:8" x14ac:dyDescent="0.2">
      <c r="A296" s="2">
        <v>282</v>
      </c>
      <c r="B296" s="9"/>
      <c r="C296" s="4"/>
      <c r="D296" s="5"/>
      <c r="E296" s="6"/>
      <c r="F296" s="10"/>
      <c r="G296" s="4"/>
      <c r="H296" s="6"/>
    </row>
    <row r="297" spans="1:8" x14ac:dyDescent="0.2">
      <c r="A297" s="2">
        <v>283</v>
      </c>
      <c r="B297" s="9"/>
      <c r="C297" s="4"/>
      <c r="D297" s="5"/>
      <c r="E297" s="6"/>
      <c r="F297" s="10"/>
      <c r="G297" s="4"/>
      <c r="H297" s="6"/>
    </row>
    <row r="298" spans="1:8" x14ac:dyDescent="0.2">
      <c r="A298" s="2">
        <v>284</v>
      </c>
      <c r="B298" s="9"/>
      <c r="C298" s="4"/>
      <c r="D298" s="5"/>
      <c r="E298" s="6"/>
      <c r="F298" s="10"/>
      <c r="G298" s="4"/>
      <c r="H298" s="6"/>
    </row>
    <row r="299" spans="1:8" x14ac:dyDescent="0.2">
      <c r="A299" s="2">
        <v>285</v>
      </c>
      <c r="B299" s="9"/>
      <c r="C299" s="4"/>
      <c r="D299" s="5"/>
      <c r="E299" s="6"/>
      <c r="F299" s="10"/>
      <c r="G299" s="4"/>
      <c r="H299" s="6"/>
    </row>
    <row r="300" spans="1:8" x14ac:dyDescent="0.2">
      <c r="A300" s="2">
        <v>286</v>
      </c>
      <c r="B300" s="9"/>
      <c r="C300" s="4"/>
      <c r="D300" s="5"/>
      <c r="E300" s="6"/>
      <c r="F300" s="10"/>
      <c r="G300" s="4"/>
      <c r="H300" s="6"/>
    </row>
    <row r="301" spans="1:8" x14ac:dyDescent="0.2">
      <c r="A301" s="2">
        <v>287</v>
      </c>
      <c r="B301" s="9"/>
      <c r="C301" s="4"/>
      <c r="D301" s="5"/>
      <c r="E301" s="6"/>
      <c r="F301" s="10"/>
      <c r="G301" s="4"/>
      <c r="H301" s="6"/>
    </row>
    <row r="302" spans="1:8" x14ac:dyDescent="0.2">
      <c r="A302" s="2">
        <v>288</v>
      </c>
      <c r="B302" s="9"/>
      <c r="C302" s="4"/>
      <c r="D302" s="5"/>
      <c r="E302" s="6"/>
      <c r="F302" s="10"/>
      <c r="G302" s="4"/>
      <c r="H302" s="6"/>
    </row>
    <row r="303" spans="1:8" x14ac:dyDescent="0.2">
      <c r="A303" s="2">
        <v>289</v>
      </c>
      <c r="B303" s="9"/>
      <c r="C303" s="4"/>
      <c r="D303" s="5"/>
      <c r="E303" s="6"/>
      <c r="F303" s="10"/>
      <c r="G303" s="4"/>
      <c r="H303" s="6"/>
    </row>
    <row r="304" spans="1:8" x14ac:dyDescent="0.2">
      <c r="A304" s="2">
        <v>290</v>
      </c>
      <c r="B304" s="9"/>
      <c r="C304" s="4"/>
      <c r="D304" s="5"/>
      <c r="E304" s="6"/>
      <c r="F304" s="10"/>
      <c r="G304" s="4"/>
      <c r="H304" s="6"/>
    </row>
    <row r="305" spans="1:8" x14ac:dyDescent="0.2">
      <c r="A305" s="2">
        <v>291</v>
      </c>
      <c r="B305" s="9"/>
      <c r="C305" s="4"/>
      <c r="D305" s="5"/>
      <c r="E305" s="6"/>
      <c r="F305" s="10"/>
      <c r="G305" s="4"/>
      <c r="H305" s="6"/>
    </row>
    <row r="306" spans="1:8" x14ac:dyDescent="0.2">
      <c r="A306" s="2">
        <v>292</v>
      </c>
      <c r="B306" s="9"/>
      <c r="C306" s="4"/>
      <c r="D306" s="5"/>
      <c r="E306" s="6"/>
      <c r="F306" s="10"/>
      <c r="G306" s="4"/>
      <c r="H306" s="6"/>
    </row>
    <row r="307" spans="1:8" x14ac:dyDescent="0.2">
      <c r="A307" s="2">
        <v>293</v>
      </c>
      <c r="B307" s="9"/>
      <c r="C307" s="4"/>
      <c r="D307" s="5"/>
      <c r="E307" s="6"/>
      <c r="F307" s="10"/>
      <c r="G307" s="4"/>
      <c r="H307" s="6"/>
    </row>
    <row r="308" spans="1:8" x14ac:dyDescent="0.2">
      <c r="A308" s="2">
        <v>294</v>
      </c>
      <c r="B308" s="9"/>
      <c r="C308" s="4"/>
      <c r="D308" s="5"/>
      <c r="E308" s="6"/>
      <c r="F308" s="10"/>
      <c r="G308" s="4"/>
      <c r="H308" s="6"/>
    </row>
    <row r="309" spans="1:8" x14ac:dyDescent="0.2">
      <c r="A309" s="2">
        <v>295</v>
      </c>
      <c r="B309" s="9"/>
      <c r="C309" s="4"/>
      <c r="D309" s="5"/>
      <c r="E309" s="6"/>
      <c r="F309" s="10"/>
      <c r="G309" s="4"/>
      <c r="H309" s="6"/>
    </row>
    <row r="310" spans="1:8" x14ac:dyDescent="0.2">
      <c r="A310" s="2">
        <v>296</v>
      </c>
      <c r="B310" s="9"/>
      <c r="C310" s="4"/>
      <c r="D310" s="5"/>
      <c r="E310" s="6"/>
      <c r="F310" s="10"/>
      <c r="G310" s="4"/>
      <c r="H310" s="6"/>
    </row>
    <row r="311" spans="1:8" x14ac:dyDescent="0.2">
      <c r="A311" s="2">
        <v>297</v>
      </c>
      <c r="B311" s="9"/>
      <c r="C311" s="4"/>
      <c r="D311" s="5"/>
      <c r="E311" s="6"/>
      <c r="F311" s="10"/>
      <c r="G311" s="4"/>
      <c r="H311" s="6"/>
    </row>
    <row r="312" spans="1:8" x14ac:dyDescent="0.2">
      <c r="A312" s="2">
        <v>298</v>
      </c>
      <c r="B312" s="9"/>
      <c r="C312" s="4"/>
      <c r="D312" s="5"/>
      <c r="E312" s="6"/>
      <c r="F312" s="10"/>
      <c r="G312" s="4"/>
      <c r="H312" s="6"/>
    </row>
    <row r="313" spans="1:8" x14ac:dyDescent="0.2">
      <c r="A313" s="2">
        <v>299</v>
      </c>
      <c r="B313" s="9"/>
      <c r="C313" s="4"/>
      <c r="D313" s="5"/>
      <c r="E313" s="6"/>
      <c r="F313" s="10"/>
      <c r="G313" s="4"/>
      <c r="H313" s="6"/>
    </row>
    <row r="314" spans="1:8" x14ac:dyDescent="0.2">
      <c r="A314" s="2">
        <v>300</v>
      </c>
      <c r="B314" s="9"/>
      <c r="C314" s="4"/>
      <c r="D314" s="5"/>
      <c r="E314" s="6"/>
      <c r="F314" s="10"/>
      <c r="G314" s="4"/>
      <c r="H314" s="6"/>
    </row>
    <row r="315" spans="1:8" x14ac:dyDescent="0.2">
      <c r="A315" s="2">
        <v>301</v>
      </c>
      <c r="B315" s="9"/>
      <c r="C315" s="4"/>
      <c r="D315" s="5"/>
      <c r="E315" s="6"/>
      <c r="F315" s="10"/>
      <c r="G315" s="4"/>
      <c r="H315" s="6"/>
    </row>
    <row r="316" spans="1:8" x14ac:dyDescent="0.2">
      <c r="A316" s="2">
        <v>302</v>
      </c>
      <c r="B316" s="9"/>
      <c r="C316" s="4"/>
      <c r="D316" s="5"/>
      <c r="E316" s="6"/>
      <c r="F316" s="10"/>
      <c r="G316" s="4"/>
      <c r="H316" s="6"/>
    </row>
    <row r="317" spans="1:8" x14ac:dyDescent="0.2">
      <c r="A317" s="2">
        <v>303</v>
      </c>
      <c r="B317" s="9"/>
      <c r="C317" s="4"/>
      <c r="D317" s="5"/>
      <c r="E317" s="6"/>
      <c r="F317" s="10"/>
      <c r="G317" s="4"/>
      <c r="H317" s="6"/>
    </row>
    <row r="318" spans="1:8" x14ac:dyDescent="0.2">
      <c r="A318" s="2">
        <v>304</v>
      </c>
      <c r="B318" s="9"/>
      <c r="C318" s="4"/>
      <c r="D318" s="5"/>
      <c r="E318" s="6"/>
      <c r="F318" s="10"/>
      <c r="G318" s="4"/>
      <c r="H318" s="6"/>
    </row>
    <row r="319" spans="1:8" x14ac:dyDescent="0.2">
      <c r="A319" s="2">
        <v>305</v>
      </c>
      <c r="B319" s="9"/>
      <c r="C319" s="4"/>
      <c r="D319" s="5"/>
      <c r="E319" s="6"/>
      <c r="F319" s="10"/>
      <c r="G319" s="4"/>
      <c r="H319" s="6"/>
    </row>
    <row r="320" spans="1:8" x14ac:dyDescent="0.2">
      <c r="A320" s="2">
        <v>306</v>
      </c>
      <c r="B320" s="9"/>
      <c r="C320" s="4"/>
      <c r="D320" s="5"/>
      <c r="E320" s="6"/>
      <c r="F320" s="10"/>
      <c r="G320" s="4"/>
      <c r="H320" s="6"/>
    </row>
    <row r="321" spans="1:8" x14ac:dyDescent="0.2">
      <c r="A321" s="2">
        <v>307</v>
      </c>
      <c r="B321" s="9"/>
      <c r="C321" s="4"/>
      <c r="D321" s="5"/>
      <c r="E321" s="6"/>
      <c r="F321" s="10"/>
      <c r="G321" s="4"/>
      <c r="H321" s="6"/>
    </row>
    <row r="322" spans="1:8" x14ac:dyDescent="0.2">
      <c r="A322" s="2">
        <v>308</v>
      </c>
      <c r="B322" s="9"/>
      <c r="C322" s="4"/>
      <c r="D322" s="5"/>
      <c r="E322" s="6"/>
      <c r="F322" s="10"/>
      <c r="G322" s="4"/>
      <c r="H322" s="6"/>
    </row>
    <row r="323" spans="1:8" x14ac:dyDescent="0.2">
      <c r="A323" s="2">
        <v>309</v>
      </c>
      <c r="B323" s="9"/>
      <c r="C323" s="4"/>
      <c r="D323" s="5"/>
      <c r="E323" s="6"/>
      <c r="F323" s="10"/>
      <c r="G323" s="4"/>
      <c r="H323" s="6"/>
    </row>
    <row r="324" spans="1:8" x14ac:dyDescent="0.2">
      <c r="A324" s="2">
        <v>310</v>
      </c>
      <c r="B324" s="9"/>
      <c r="C324" s="4"/>
      <c r="D324" s="5"/>
      <c r="E324" s="6"/>
      <c r="F324" s="10"/>
      <c r="G324" s="4"/>
      <c r="H324" s="6"/>
    </row>
    <row r="325" spans="1:8" x14ac:dyDescent="0.2">
      <c r="A325" s="2">
        <v>311</v>
      </c>
      <c r="B325" s="9"/>
      <c r="C325" s="4"/>
      <c r="D325" s="5"/>
      <c r="E325" s="6"/>
      <c r="F325" s="10"/>
      <c r="G325" s="4"/>
      <c r="H325" s="6"/>
    </row>
    <row r="326" spans="1:8" x14ac:dyDescent="0.2">
      <c r="A326" s="2">
        <v>312</v>
      </c>
      <c r="B326" s="9"/>
      <c r="C326" s="4"/>
      <c r="D326" s="5"/>
      <c r="E326" s="6"/>
      <c r="F326" s="10"/>
      <c r="G326" s="4"/>
      <c r="H326" s="6"/>
    </row>
    <row r="327" spans="1:8" x14ac:dyDescent="0.2">
      <c r="A327" s="2">
        <v>313</v>
      </c>
      <c r="B327" s="9"/>
      <c r="C327" s="4"/>
      <c r="D327" s="5"/>
      <c r="E327" s="6"/>
      <c r="F327" s="10"/>
      <c r="G327" s="4"/>
      <c r="H327" s="6"/>
    </row>
    <row r="328" spans="1:8" x14ac:dyDescent="0.2">
      <c r="A328" s="2">
        <v>314</v>
      </c>
      <c r="B328" s="9"/>
      <c r="C328" s="4"/>
      <c r="D328" s="5"/>
      <c r="E328" s="6"/>
      <c r="F328" s="10"/>
      <c r="G328" s="4"/>
      <c r="H328" s="6"/>
    </row>
    <row r="329" spans="1:8" x14ac:dyDescent="0.2">
      <c r="A329" s="2">
        <v>315</v>
      </c>
      <c r="B329" s="9"/>
      <c r="C329" s="4"/>
      <c r="D329" s="5"/>
      <c r="E329" s="6"/>
      <c r="F329" s="10"/>
      <c r="G329" s="4"/>
      <c r="H329" s="6"/>
    </row>
    <row r="330" spans="1:8" x14ac:dyDescent="0.2">
      <c r="A330" s="2">
        <v>316</v>
      </c>
      <c r="B330" s="9"/>
      <c r="C330" s="4"/>
      <c r="D330" s="5"/>
      <c r="E330" s="6"/>
      <c r="F330" s="10"/>
      <c r="G330" s="4"/>
      <c r="H330" s="6"/>
    </row>
    <row r="331" spans="1:8" x14ac:dyDescent="0.2">
      <c r="A331" s="2">
        <v>317</v>
      </c>
      <c r="B331" s="9"/>
      <c r="C331" s="4"/>
      <c r="D331" s="5"/>
      <c r="E331" s="6"/>
      <c r="F331" s="10"/>
      <c r="G331" s="4"/>
      <c r="H331" s="6"/>
    </row>
    <row r="332" spans="1:8" x14ac:dyDescent="0.2">
      <c r="A332" s="2">
        <v>318</v>
      </c>
      <c r="B332" s="9"/>
      <c r="C332" s="4"/>
      <c r="D332" s="5"/>
      <c r="E332" s="6"/>
      <c r="F332" s="10"/>
      <c r="G332" s="4"/>
      <c r="H332" s="6"/>
    </row>
    <row r="333" spans="1:8" x14ac:dyDescent="0.2">
      <c r="A333" s="2">
        <v>319</v>
      </c>
      <c r="B333" s="9"/>
      <c r="C333" s="4"/>
      <c r="D333" s="5"/>
      <c r="E333" s="6"/>
      <c r="F333" s="10"/>
      <c r="G333" s="4"/>
      <c r="H333" s="6"/>
    </row>
    <row r="334" spans="1:8" x14ac:dyDescent="0.2">
      <c r="A334" s="2">
        <v>320</v>
      </c>
      <c r="B334" s="9"/>
      <c r="C334" s="4"/>
      <c r="D334" s="5"/>
      <c r="E334" s="6"/>
      <c r="F334" s="10"/>
      <c r="G334" s="4"/>
      <c r="H334" s="6"/>
    </row>
    <row r="335" spans="1:8" x14ac:dyDescent="0.2">
      <c r="A335" s="2">
        <v>321</v>
      </c>
      <c r="B335" s="9"/>
      <c r="C335" s="4"/>
      <c r="D335" s="5"/>
      <c r="E335" s="6"/>
      <c r="F335" s="10"/>
      <c r="G335" s="4"/>
      <c r="H335" s="6"/>
    </row>
    <row r="336" spans="1:8" x14ac:dyDescent="0.2">
      <c r="A336" s="2">
        <v>322</v>
      </c>
      <c r="B336" s="9"/>
      <c r="C336" s="4"/>
      <c r="D336" s="5"/>
      <c r="E336" s="6"/>
      <c r="F336" s="10"/>
      <c r="G336" s="4"/>
      <c r="H336" s="6"/>
    </row>
    <row r="337" spans="1:8" x14ac:dyDescent="0.2">
      <c r="A337" s="2">
        <v>323</v>
      </c>
      <c r="B337" s="9"/>
      <c r="C337" s="4"/>
      <c r="D337" s="5"/>
      <c r="E337" s="6"/>
      <c r="F337" s="10"/>
      <c r="G337" s="4"/>
      <c r="H337" s="6"/>
    </row>
    <row r="338" spans="1:8" x14ac:dyDescent="0.2">
      <c r="A338" s="2">
        <v>324</v>
      </c>
      <c r="B338" s="9"/>
      <c r="C338" s="4"/>
      <c r="D338" s="5"/>
      <c r="E338" s="6"/>
      <c r="F338" s="10"/>
      <c r="G338" s="4"/>
      <c r="H338" s="6"/>
    </row>
    <row r="339" spans="1:8" x14ac:dyDescent="0.2">
      <c r="A339" s="2">
        <v>325</v>
      </c>
      <c r="B339" s="9"/>
      <c r="C339" s="4"/>
      <c r="D339" s="5"/>
      <c r="E339" s="6"/>
      <c r="F339" s="10"/>
      <c r="G339" s="4"/>
      <c r="H339" s="6"/>
    </row>
    <row r="340" spans="1:8" x14ac:dyDescent="0.2">
      <c r="A340" s="2">
        <v>326</v>
      </c>
      <c r="B340" s="9"/>
      <c r="C340" s="4"/>
      <c r="D340" s="5"/>
      <c r="E340" s="6"/>
      <c r="F340" s="10"/>
      <c r="G340" s="4"/>
      <c r="H340" s="6"/>
    </row>
    <row r="341" spans="1:8" x14ac:dyDescent="0.2">
      <c r="A341" s="2">
        <v>327</v>
      </c>
      <c r="B341" s="9"/>
      <c r="C341" s="4"/>
      <c r="D341" s="5"/>
      <c r="E341" s="6"/>
      <c r="F341" s="10"/>
      <c r="G341" s="4"/>
      <c r="H341" s="6"/>
    </row>
    <row r="342" spans="1:8" x14ac:dyDescent="0.2">
      <c r="A342" s="2">
        <v>328</v>
      </c>
      <c r="B342" s="9"/>
      <c r="C342" s="4"/>
      <c r="D342" s="5"/>
      <c r="E342" s="6"/>
      <c r="F342" s="10"/>
      <c r="G342" s="4"/>
      <c r="H342" s="6"/>
    </row>
    <row r="343" spans="1:8" x14ac:dyDescent="0.2">
      <c r="A343" s="2">
        <v>329</v>
      </c>
      <c r="B343" s="9"/>
      <c r="C343" s="4"/>
      <c r="D343" s="5"/>
      <c r="E343" s="6"/>
      <c r="F343" s="10"/>
      <c r="G343" s="4"/>
      <c r="H343" s="6"/>
    </row>
    <row r="344" spans="1:8" x14ac:dyDescent="0.2">
      <c r="A344" s="2">
        <v>330</v>
      </c>
      <c r="B344" s="9"/>
      <c r="C344" s="4"/>
      <c r="D344" s="5"/>
      <c r="E344" s="6"/>
      <c r="F344" s="10"/>
      <c r="G344" s="4"/>
      <c r="H344" s="6"/>
    </row>
    <row r="345" spans="1:8" x14ac:dyDescent="0.2">
      <c r="A345" s="2">
        <v>331</v>
      </c>
      <c r="B345" s="9"/>
      <c r="C345" s="4"/>
      <c r="D345" s="5"/>
      <c r="E345" s="6"/>
      <c r="F345" s="10"/>
      <c r="G345" s="4"/>
      <c r="H345" s="6"/>
    </row>
    <row r="346" spans="1:8" x14ac:dyDescent="0.2">
      <c r="A346" s="2">
        <v>332</v>
      </c>
      <c r="B346" s="9"/>
      <c r="C346" s="4"/>
      <c r="D346" s="5"/>
      <c r="E346" s="6"/>
      <c r="F346" s="10"/>
      <c r="G346" s="4"/>
      <c r="H346" s="6"/>
    </row>
    <row r="347" spans="1:8" x14ac:dyDescent="0.2">
      <c r="A347" s="2">
        <v>333</v>
      </c>
      <c r="B347" s="9"/>
      <c r="C347" s="4"/>
      <c r="D347" s="5"/>
      <c r="E347" s="6"/>
      <c r="F347" s="10"/>
      <c r="G347" s="4"/>
      <c r="H347" s="6"/>
    </row>
    <row r="348" spans="1:8" x14ac:dyDescent="0.2">
      <c r="A348" s="2">
        <v>334</v>
      </c>
      <c r="B348" s="9"/>
      <c r="C348" s="4"/>
      <c r="D348" s="5"/>
      <c r="E348" s="6"/>
      <c r="F348" s="10"/>
      <c r="G348" s="4"/>
      <c r="H348" s="6"/>
    </row>
    <row r="349" spans="1:8" x14ac:dyDescent="0.2">
      <c r="A349" s="2">
        <v>335</v>
      </c>
      <c r="B349" s="9"/>
      <c r="C349" s="4"/>
      <c r="D349" s="5"/>
      <c r="E349" s="6"/>
      <c r="F349" s="10"/>
      <c r="G349" s="4"/>
      <c r="H349" s="6"/>
    </row>
    <row r="350" spans="1:8" x14ac:dyDescent="0.2">
      <c r="A350" s="2">
        <v>336</v>
      </c>
      <c r="B350" s="9"/>
      <c r="C350" s="4"/>
      <c r="D350" s="5"/>
      <c r="E350" s="6"/>
      <c r="F350" s="10"/>
      <c r="G350" s="4"/>
      <c r="H350" s="6"/>
    </row>
    <row r="351" spans="1:8" x14ac:dyDescent="0.2">
      <c r="A351" s="2">
        <v>337</v>
      </c>
      <c r="B351" s="9"/>
      <c r="C351" s="4"/>
      <c r="D351" s="5"/>
      <c r="E351" s="6"/>
      <c r="F351" s="10"/>
      <c r="G351" s="4"/>
      <c r="H351" s="6"/>
    </row>
    <row r="352" spans="1:8" x14ac:dyDescent="0.2">
      <c r="A352" s="2">
        <v>338</v>
      </c>
      <c r="B352" s="9"/>
      <c r="C352" s="4"/>
      <c r="D352" s="5"/>
      <c r="E352" s="6"/>
      <c r="F352" s="10"/>
      <c r="G352" s="4"/>
      <c r="H352" s="6"/>
    </row>
    <row r="353" spans="1:8" x14ac:dyDescent="0.2">
      <c r="A353" s="2">
        <v>339</v>
      </c>
      <c r="B353" s="9"/>
      <c r="C353" s="4"/>
      <c r="D353" s="5"/>
      <c r="E353" s="6"/>
      <c r="F353" s="10"/>
      <c r="G353" s="4"/>
      <c r="H353" s="6"/>
    </row>
    <row r="354" spans="1:8" x14ac:dyDescent="0.2">
      <c r="A354" s="2">
        <v>340</v>
      </c>
      <c r="B354" s="9"/>
      <c r="C354" s="4"/>
      <c r="D354" s="5"/>
      <c r="E354" s="6"/>
      <c r="F354" s="10"/>
      <c r="G354" s="4"/>
      <c r="H354" s="6"/>
    </row>
    <row r="355" spans="1:8" x14ac:dyDescent="0.2">
      <c r="A355" s="2">
        <v>341</v>
      </c>
      <c r="B355" s="9"/>
      <c r="C355" s="4"/>
      <c r="D355" s="5"/>
      <c r="E355" s="6"/>
      <c r="F355" s="10"/>
      <c r="G355" s="4"/>
      <c r="H355" s="6"/>
    </row>
    <row r="356" spans="1:8" x14ac:dyDescent="0.2">
      <c r="A356" s="2">
        <v>342</v>
      </c>
      <c r="B356" s="9"/>
      <c r="C356" s="4"/>
      <c r="D356" s="5"/>
      <c r="E356" s="6"/>
      <c r="F356" s="10"/>
      <c r="G356" s="4"/>
      <c r="H356" s="6"/>
    </row>
    <row r="357" spans="1:8" x14ac:dyDescent="0.2">
      <c r="A357" s="2">
        <v>343</v>
      </c>
      <c r="B357" s="9"/>
      <c r="C357" s="4"/>
      <c r="D357" s="5"/>
      <c r="E357" s="6"/>
      <c r="F357" s="10"/>
      <c r="G357" s="4"/>
      <c r="H357" s="6"/>
    </row>
    <row r="358" spans="1:8" x14ac:dyDescent="0.2">
      <c r="A358" s="2">
        <v>344</v>
      </c>
      <c r="B358" s="9"/>
      <c r="C358" s="4"/>
      <c r="D358" s="5"/>
      <c r="E358" s="6"/>
      <c r="F358" s="10"/>
      <c r="G358" s="4"/>
      <c r="H358" s="6"/>
    </row>
    <row r="359" spans="1:8" x14ac:dyDescent="0.2">
      <c r="A359" s="2">
        <v>345</v>
      </c>
      <c r="B359" s="9"/>
      <c r="C359" s="4"/>
      <c r="D359" s="5"/>
      <c r="E359" s="6"/>
      <c r="F359" s="10"/>
      <c r="G359" s="4"/>
      <c r="H359" s="6"/>
    </row>
    <row r="360" spans="1:8" x14ac:dyDescent="0.2">
      <c r="A360" s="2">
        <v>346</v>
      </c>
      <c r="B360" s="9"/>
      <c r="C360" s="4"/>
      <c r="D360" s="5"/>
      <c r="E360" s="6"/>
      <c r="F360" s="10"/>
      <c r="G360" s="4"/>
      <c r="H360" s="6"/>
    </row>
    <row r="361" spans="1:8" x14ac:dyDescent="0.2">
      <c r="A361" s="2">
        <v>347</v>
      </c>
      <c r="B361" s="9"/>
      <c r="C361" s="4"/>
      <c r="D361" s="5"/>
      <c r="E361" s="6"/>
      <c r="F361" s="10"/>
      <c r="G361" s="4"/>
      <c r="H361" s="6"/>
    </row>
    <row r="362" spans="1:8" x14ac:dyDescent="0.2">
      <c r="A362" s="2">
        <v>348</v>
      </c>
      <c r="B362" s="9"/>
      <c r="C362" s="4"/>
      <c r="D362" s="5"/>
      <c r="E362" s="6"/>
      <c r="F362" s="10"/>
      <c r="G362" s="4"/>
      <c r="H362" s="6"/>
    </row>
    <row r="363" spans="1:8" x14ac:dyDescent="0.2">
      <c r="A363" s="2">
        <v>349</v>
      </c>
      <c r="B363" s="9"/>
      <c r="C363" s="4"/>
      <c r="D363" s="5"/>
      <c r="E363" s="6"/>
      <c r="F363" s="10"/>
      <c r="G363" s="4"/>
      <c r="H363" s="6"/>
    </row>
    <row r="364" spans="1:8" x14ac:dyDescent="0.2">
      <c r="A364" s="2">
        <v>350</v>
      </c>
      <c r="B364" s="9"/>
      <c r="C364" s="4"/>
      <c r="D364" s="5"/>
      <c r="E364" s="6"/>
      <c r="F364" s="10"/>
      <c r="G364" s="4"/>
      <c r="H364" s="6"/>
    </row>
    <row r="365" spans="1:8" x14ac:dyDescent="0.2">
      <c r="A365" s="2">
        <v>351</v>
      </c>
      <c r="B365" s="9"/>
      <c r="C365" s="4"/>
      <c r="D365" s="5"/>
      <c r="E365" s="6"/>
      <c r="F365" s="10"/>
      <c r="G365" s="4"/>
      <c r="H365" s="6"/>
    </row>
    <row r="366" spans="1:8" x14ac:dyDescent="0.2">
      <c r="A366" s="2">
        <v>352</v>
      </c>
      <c r="B366" s="9"/>
      <c r="C366" s="4"/>
      <c r="D366" s="5"/>
      <c r="E366" s="6"/>
      <c r="F366" s="10"/>
      <c r="G366" s="4"/>
      <c r="H366" s="6"/>
    </row>
    <row r="367" spans="1:8" x14ac:dyDescent="0.2">
      <c r="A367" s="2">
        <v>353</v>
      </c>
      <c r="B367" s="9"/>
      <c r="C367" s="4"/>
      <c r="D367" s="5"/>
      <c r="E367" s="6"/>
      <c r="F367" s="10"/>
      <c r="G367" s="4"/>
      <c r="H367" s="6"/>
    </row>
    <row r="368" spans="1:8" x14ac:dyDescent="0.2">
      <c r="A368" s="2">
        <v>354</v>
      </c>
      <c r="B368" s="9"/>
      <c r="C368" s="4"/>
      <c r="D368" s="5"/>
      <c r="E368" s="6"/>
      <c r="F368" s="10"/>
      <c r="G368" s="4"/>
      <c r="H368" s="6"/>
    </row>
    <row r="369" spans="1:8" x14ac:dyDescent="0.2">
      <c r="A369" s="2">
        <v>355</v>
      </c>
      <c r="B369" s="9"/>
      <c r="C369" s="4"/>
      <c r="D369" s="5"/>
      <c r="E369" s="6"/>
      <c r="F369" s="10"/>
      <c r="G369" s="4"/>
      <c r="H369" s="6"/>
    </row>
    <row r="370" spans="1:8" x14ac:dyDescent="0.2">
      <c r="A370" s="2">
        <v>356</v>
      </c>
      <c r="B370" s="9"/>
      <c r="C370" s="4"/>
      <c r="D370" s="5"/>
      <c r="E370" s="6"/>
      <c r="F370" s="10"/>
      <c r="G370" s="4"/>
      <c r="H370" s="6"/>
    </row>
    <row r="371" spans="1:8" x14ac:dyDescent="0.2">
      <c r="A371" s="2">
        <v>357</v>
      </c>
      <c r="B371" s="9"/>
      <c r="C371" s="4"/>
      <c r="D371" s="5"/>
      <c r="E371" s="6"/>
      <c r="F371" s="10"/>
      <c r="G371" s="4"/>
      <c r="H371" s="6"/>
    </row>
    <row r="372" spans="1:8" x14ac:dyDescent="0.2">
      <c r="A372" s="2">
        <v>358</v>
      </c>
      <c r="B372" s="9"/>
      <c r="C372" s="4"/>
      <c r="D372" s="5"/>
      <c r="E372" s="6"/>
      <c r="F372" s="10"/>
      <c r="G372" s="4"/>
      <c r="H372" s="6"/>
    </row>
    <row r="373" spans="1:8" x14ac:dyDescent="0.2">
      <c r="A373" s="2">
        <v>359</v>
      </c>
      <c r="B373" s="9"/>
      <c r="C373" s="4"/>
      <c r="D373" s="5"/>
      <c r="E373" s="6"/>
      <c r="F373" s="10"/>
      <c r="G373" s="4"/>
      <c r="H373" s="6"/>
    </row>
    <row r="374" spans="1:8" x14ac:dyDescent="0.2">
      <c r="A374" s="2">
        <v>360</v>
      </c>
      <c r="B374" s="9"/>
      <c r="C374" s="4"/>
      <c r="D374" s="5"/>
      <c r="E374" s="6"/>
    </row>
    <row r="375" spans="1:8" x14ac:dyDescent="0.2">
      <c r="A375" s="2">
        <v>361</v>
      </c>
      <c r="B375" s="9"/>
      <c r="C375" s="4"/>
      <c r="D375" s="5"/>
      <c r="E375" s="6"/>
    </row>
    <row r="376" spans="1:8" x14ac:dyDescent="0.2">
      <c r="A376" s="2">
        <v>362</v>
      </c>
      <c r="B376" s="9"/>
      <c r="C376" s="4"/>
      <c r="D376" s="5"/>
      <c r="E376" s="6"/>
    </row>
    <row r="377" spans="1:8" x14ac:dyDescent="0.2">
      <c r="A377" s="2">
        <v>363</v>
      </c>
      <c r="B377" s="9"/>
      <c r="C377" s="4"/>
      <c r="D377" s="5"/>
      <c r="E377" s="6"/>
    </row>
    <row r="378" spans="1:8" x14ac:dyDescent="0.2">
      <c r="A378" s="2">
        <v>364</v>
      </c>
      <c r="B378" s="9"/>
      <c r="C378" s="4"/>
      <c r="D378" s="5"/>
      <c r="E378" s="6"/>
    </row>
    <row r="379" spans="1:8" x14ac:dyDescent="0.2">
      <c r="A379" s="2">
        <v>365</v>
      </c>
      <c r="B379" s="9"/>
      <c r="C379" s="4"/>
      <c r="D379" s="5"/>
      <c r="E379" s="6"/>
    </row>
    <row r="380" spans="1:8" x14ac:dyDescent="0.2">
      <c r="A380" s="2">
        <v>366</v>
      </c>
      <c r="B380" s="9"/>
      <c r="C380" s="4"/>
      <c r="D380" s="5"/>
      <c r="E380" s="6"/>
    </row>
    <row r="381" spans="1:8" x14ac:dyDescent="0.2">
      <c r="A381" s="2">
        <v>367</v>
      </c>
      <c r="B381" s="9"/>
      <c r="C381" s="4"/>
      <c r="D381" s="5"/>
      <c r="E381" s="6"/>
    </row>
    <row r="382" spans="1:8" x14ac:dyDescent="0.2">
      <c r="A382" s="2">
        <v>368</v>
      </c>
      <c r="B382" s="9"/>
      <c r="C382" s="4"/>
      <c r="D382" s="5"/>
      <c r="E382" s="6"/>
    </row>
    <row r="383" spans="1:8" x14ac:dyDescent="0.2">
      <c r="A383" s="2">
        <v>369</v>
      </c>
      <c r="B383" s="9"/>
      <c r="C383" s="4"/>
      <c r="D383" s="5"/>
      <c r="E383" s="6"/>
    </row>
    <row r="384" spans="1:8" x14ac:dyDescent="0.2">
      <c r="A384" s="2">
        <v>370</v>
      </c>
      <c r="B384" s="9"/>
      <c r="C384" s="4"/>
      <c r="D384" s="5"/>
      <c r="E384" s="6"/>
    </row>
    <row r="385" spans="1:5" x14ac:dyDescent="0.2">
      <c r="A385" s="2">
        <v>371</v>
      </c>
      <c r="B385" s="9"/>
      <c r="C385" s="4"/>
      <c r="D385" s="5"/>
      <c r="E385" s="6"/>
    </row>
    <row r="386" spans="1:5" x14ac:dyDescent="0.2">
      <c r="A386" s="2">
        <v>372</v>
      </c>
      <c r="B386" s="9"/>
      <c r="C386" s="4"/>
      <c r="D386" s="5"/>
      <c r="E386" s="6"/>
    </row>
    <row r="387" spans="1:5" x14ac:dyDescent="0.2">
      <c r="A387" s="2">
        <v>373</v>
      </c>
      <c r="B387" s="9"/>
      <c r="C387" s="4"/>
      <c r="D387" s="5"/>
      <c r="E387" s="6"/>
    </row>
    <row r="388" spans="1:5" x14ac:dyDescent="0.2">
      <c r="A388" s="2">
        <v>374</v>
      </c>
      <c r="B388" s="9"/>
      <c r="C388" s="4"/>
      <c r="D388" s="5"/>
      <c r="E388" s="6"/>
    </row>
    <row r="389" spans="1:5" x14ac:dyDescent="0.2">
      <c r="A389" s="2">
        <v>375</v>
      </c>
      <c r="B389" s="9"/>
      <c r="C389" s="4"/>
      <c r="D389" s="5"/>
      <c r="E389" s="6"/>
    </row>
    <row r="390" spans="1:5" x14ac:dyDescent="0.2">
      <c r="A390" s="2">
        <v>376</v>
      </c>
      <c r="B390" s="9"/>
      <c r="C390" s="4"/>
      <c r="D390" s="5"/>
      <c r="E390" s="6"/>
    </row>
    <row r="391" spans="1:5" x14ac:dyDescent="0.2">
      <c r="A391" s="2">
        <v>377</v>
      </c>
      <c r="B391" s="9"/>
      <c r="C391" s="4"/>
      <c r="D391" s="5"/>
      <c r="E391" s="6"/>
    </row>
    <row r="392" spans="1:5" x14ac:dyDescent="0.2">
      <c r="A392" s="2">
        <v>378</v>
      </c>
      <c r="B392" s="9"/>
      <c r="C392" s="4"/>
      <c r="D392" s="5"/>
      <c r="E392" s="6"/>
    </row>
    <row r="393" spans="1:5" x14ac:dyDescent="0.2">
      <c r="A393" s="2">
        <v>379</v>
      </c>
      <c r="B393" s="9"/>
      <c r="C393" s="4"/>
      <c r="D393" s="5"/>
      <c r="E393" s="6"/>
    </row>
    <row r="394" spans="1:5" x14ac:dyDescent="0.2">
      <c r="A394" s="2">
        <v>380</v>
      </c>
      <c r="B394" s="9"/>
      <c r="C394" s="4"/>
      <c r="D394" s="5"/>
      <c r="E394" s="6"/>
    </row>
    <row r="395" spans="1:5" x14ac:dyDescent="0.2">
      <c r="A395" s="2">
        <v>381</v>
      </c>
      <c r="B395" s="9"/>
      <c r="C395" s="4"/>
      <c r="D395" s="5"/>
      <c r="E395" s="6"/>
    </row>
    <row r="396" spans="1:5" x14ac:dyDescent="0.2">
      <c r="A396" s="2">
        <v>382</v>
      </c>
      <c r="B396" s="9"/>
      <c r="C396" s="4"/>
      <c r="D396" s="5"/>
      <c r="E396" s="6"/>
    </row>
    <row r="397" spans="1:5" x14ac:dyDescent="0.2">
      <c r="A397" s="2">
        <v>383</v>
      </c>
      <c r="B397" s="9"/>
      <c r="C397" s="4"/>
      <c r="D397" s="5"/>
      <c r="E397" s="6"/>
    </row>
    <row r="398" spans="1:5" x14ac:dyDescent="0.2">
      <c r="A398" s="2">
        <v>384</v>
      </c>
      <c r="B398" s="9"/>
      <c r="C398" s="4"/>
      <c r="D398" s="5"/>
      <c r="E398" s="6"/>
    </row>
    <row r="399" spans="1:5" x14ac:dyDescent="0.2">
      <c r="A399" s="2">
        <v>385</v>
      </c>
      <c r="B399" s="9"/>
      <c r="C399" s="4"/>
      <c r="D399" s="5"/>
      <c r="E399" s="6"/>
    </row>
    <row r="400" spans="1:5" x14ac:dyDescent="0.2">
      <c r="A400" s="2">
        <v>386</v>
      </c>
      <c r="B400" s="9"/>
      <c r="C400" s="4"/>
      <c r="D400" s="5"/>
      <c r="E400" s="6"/>
    </row>
    <row r="401" spans="1:5" x14ac:dyDescent="0.2">
      <c r="A401" s="2">
        <v>387</v>
      </c>
      <c r="B401" s="9"/>
      <c r="C401" s="4"/>
      <c r="D401" s="5"/>
      <c r="E401" s="6"/>
    </row>
    <row r="402" spans="1:5" x14ac:dyDescent="0.2">
      <c r="A402" s="2">
        <v>388</v>
      </c>
      <c r="B402" s="9"/>
      <c r="C402" s="4"/>
      <c r="D402" s="5"/>
      <c r="E402" s="6"/>
    </row>
    <row r="403" spans="1:5" x14ac:dyDescent="0.2">
      <c r="A403" s="2">
        <v>389</v>
      </c>
      <c r="B403" s="9"/>
      <c r="C403" s="4"/>
      <c r="D403" s="5"/>
      <c r="E403" s="6"/>
    </row>
    <row r="404" spans="1:5" x14ac:dyDescent="0.2">
      <c r="A404" s="2">
        <v>390</v>
      </c>
      <c r="B404" s="9"/>
      <c r="C404" s="4"/>
      <c r="D404" s="5"/>
      <c r="E404" s="6"/>
    </row>
    <row r="405" spans="1:5" x14ac:dyDescent="0.2">
      <c r="A405" s="2">
        <v>391</v>
      </c>
      <c r="B405" s="9"/>
      <c r="C405" s="4"/>
      <c r="D405" s="5"/>
      <c r="E405" s="6"/>
    </row>
    <row r="406" spans="1:5" x14ac:dyDescent="0.2">
      <c r="A406" s="2">
        <v>392</v>
      </c>
      <c r="B406" s="9"/>
      <c r="C406" s="4"/>
      <c r="D406" s="5"/>
      <c r="E406" s="6"/>
    </row>
    <row r="407" spans="1:5" x14ac:dyDescent="0.2">
      <c r="A407" s="2">
        <v>393</v>
      </c>
      <c r="B407" s="9"/>
      <c r="C407" s="4"/>
      <c r="D407" s="5"/>
      <c r="E407" s="6"/>
    </row>
    <row r="408" spans="1:5" x14ac:dyDescent="0.2">
      <c r="A408" s="2">
        <v>394</v>
      </c>
      <c r="B408" s="9"/>
      <c r="C408" s="4"/>
      <c r="D408" s="5"/>
      <c r="E408" s="6"/>
    </row>
    <row r="409" spans="1:5" x14ac:dyDescent="0.2">
      <c r="A409" s="2">
        <v>395</v>
      </c>
      <c r="B409" s="9"/>
      <c r="C409" s="4"/>
      <c r="D409" s="5"/>
      <c r="E409" s="6"/>
    </row>
    <row r="410" spans="1:5" x14ac:dyDescent="0.2">
      <c r="A410" s="2">
        <v>396</v>
      </c>
      <c r="B410" s="9"/>
      <c r="C410" s="4"/>
      <c r="D410" s="5"/>
      <c r="E410" s="6"/>
    </row>
    <row r="411" spans="1:5" x14ac:dyDescent="0.2">
      <c r="A411" s="2">
        <v>397</v>
      </c>
      <c r="B411" s="9"/>
      <c r="C411" s="4"/>
      <c r="D411" s="5"/>
      <c r="E411" s="6"/>
    </row>
    <row r="412" spans="1:5" x14ac:dyDescent="0.2">
      <c r="A412" s="2">
        <v>398</v>
      </c>
      <c r="B412" s="9"/>
      <c r="C412" s="4"/>
      <c r="D412" s="5"/>
      <c r="E412" s="6"/>
    </row>
    <row r="413" spans="1:5" x14ac:dyDescent="0.2">
      <c r="A413" s="2">
        <v>399</v>
      </c>
      <c r="B413" s="9"/>
      <c r="C413" s="4"/>
      <c r="D413" s="5"/>
      <c r="E413" s="6"/>
    </row>
    <row r="414" spans="1:5" x14ac:dyDescent="0.2">
      <c r="A414" s="2">
        <v>400</v>
      </c>
      <c r="B414" s="9"/>
      <c r="C414" s="4"/>
      <c r="D414" s="5"/>
      <c r="E414" s="6"/>
    </row>
    <row r="415" spans="1:5" x14ac:dyDescent="0.2">
      <c r="A415" s="2">
        <v>401</v>
      </c>
      <c r="B415" s="9"/>
      <c r="C415" s="4"/>
      <c r="D415" s="5"/>
      <c r="E415" s="6"/>
    </row>
    <row r="416" spans="1:5" x14ac:dyDescent="0.2">
      <c r="A416" s="2">
        <v>402</v>
      </c>
      <c r="B416" s="9"/>
      <c r="C416" s="4"/>
      <c r="D416" s="5"/>
      <c r="E416" s="6"/>
    </row>
    <row r="417" spans="1:5" x14ac:dyDescent="0.2">
      <c r="A417" s="2">
        <v>403</v>
      </c>
      <c r="B417" s="9"/>
      <c r="C417" s="4"/>
      <c r="D417" s="5"/>
      <c r="E417" s="6"/>
    </row>
    <row r="418" spans="1:5" x14ac:dyDescent="0.2">
      <c r="A418" s="2">
        <v>404</v>
      </c>
      <c r="B418" s="9"/>
      <c r="C418" s="4"/>
      <c r="D418" s="5"/>
      <c r="E418" s="6"/>
    </row>
    <row r="419" spans="1:5" x14ac:dyDescent="0.2">
      <c r="A419" s="2">
        <v>405</v>
      </c>
      <c r="B419" s="9"/>
      <c r="C419" s="4"/>
      <c r="D419" s="5"/>
      <c r="E419" s="6"/>
    </row>
    <row r="420" spans="1:5" x14ac:dyDescent="0.2">
      <c r="A420" s="2">
        <v>406</v>
      </c>
      <c r="B420" s="9"/>
      <c r="C420" s="4"/>
      <c r="D420" s="5"/>
      <c r="E420" s="6"/>
    </row>
    <row r="421" spans="1:5" x14ac:dyDescent="0.2">
      <c r="A421" s="2">
        <v>407</v>
      </c>
      <c r="B421" s="9"/>
      <c r="C421" s="4"/>
      <c r="D421" s="5"/>
      <c r="E421" s="6"/>
    </row>
    <row r="422" spans="1:5" x14ac:dyDescent="0.2">
      <c r="A422" s="2">
        <v>408</v>
      </c>
      <c r="B422" s="9"/>
      <c r="C422" s="4"/>
      <c r="D422" s="5"/>
      <c r="E422" s="6"/>
    </row>
    <row r="423" spans="1:5" x14ac:dyDescent="0.2">
      <c r="A423" s="2">
        <v>409</v>
      </c>
      <c r="B423" s="9"/>
      <c r="C423" s="4"/>
      <c r="D423" s="5"/>
      <c r="E423" s="6"/>
    </row>
    <row r="424" spans="1:5" x14ac:dyDescent="0.2">
      <c r="A424" s="2">
        <v>410</v>
      </c>
      <c r="B424" s="9"/>
      <c r="C424" s="4"/>
      <c r="D424" s="5"/>
      <c r="E424" s="6"/>
    </row>
    <row r="425" spans="1:5" x14ac:dyDescent="0.2">
      <c r="A425" s="2">
        <v>411</v>
      </c>
      <c r="B425" s="9"/>
      <c r="C425" s="4"/>
      <c r="D425" s="5"/>
      <c r="E425" s="6"/>
    </row>
    <row r="426" spans="1:5" x14ac:dyDescent="0.2">
      <c r="A426" s="2">
        <v>412</v>
      </c>
      <c r="B426" s="9"/>
      <c r="C426" s="4"/>
      <c r="D426" s="5"/>
      <c r="E426" s="6"/>
    </row>
    <row r="427" spans="1:5" x14ac:dyDescent="0.2">
      <c r="A427" s="2">
        <v>413</v>
      </c>
      <c r="B427" s="9"/>
      <c r="C427" s="4"/>
      <c r="D427" s="5"/>
      <c r="E427" s="6"/>
    </row>
    <row r="428" spans="1:5" x14ac:dyDescent="0.2">
      <c r="A428" s="2">
        <v>414</v>
      </c>
      <c r="B428" s="9"/>
      <c r="C428" s="4"/>
      <c r="D428" s="5"/>
      <c r="E428" s="6"/>
    </row>
    <row r="429" spans="1:5" x14ac:dyDescent="0.2">
      <c r="A429" s="2">
        <v>415</v>
      </c>
      <c r="B429" s="9"/>
      <c r="C429" s="4"/>
      <c r="D429" s="5"/>
      <c r="E429" s="6"/>
    </row>
    <row r="430" spans="1:5" x14ac:dyDescent="0.2">
      <c r="A430" s="2">
        <v>416</v>
      </c>
      <c r="B430" s="9"/>
      <c r="C430" s="4"/>
      <c r="D430" s="5"/>
      <c r="E430" s="6"/>
    </row>
    <row r="431" spans="1:5" x14ac:dyDescent="0.2">
      <c r="A431" s="2">
        <v>417</v>
      </c>
      <c r="B431" s="9"/>
      <c r="C431" s="4"/>
      <c r="D431" s="5"/>
      <c r="E431" s="6"/>
    </row>
    <row r="432" spans="1:5" x14ac:dyDescent="0.2">
      <c r="A432" s="2">
        <v>418</v>
      </c>
      <c r="B432" s="9"/>
      <c r="C432" s="4"/>
      <c r="D432" s="5"/>
      <c r="E432" s="6"/>
    </row>
    <row r="433" spans="1:5" x14ac:dyDescent="0.2">
      <c r="A433" s="2">
        <v>419</v>
      </c>
      <c r="B433" s="9"/>
      <c r="C433" s="4"/>
      <c r="D433" s="5"/>
      <c r="E433" s="6"/>
    </row>
    <row r="434" spans="1:5" x14ac:dyDescent="0.2">
      <c r="A434" s="2">
        <v>420</v>
      </c>
      <c r="B434" s="9"/>
      <c r="C434" s="4"/>
      <c r="D434" s="5"/>
      <c r="E434" s="6"/>
    </row>
    <row r="435" spans="1:5" x14ac:dyDescent="0.2">
      <c r="A435" s="2">
        <v>421</v>
      </c>
      <c r="B435" s="9"/>
      <c r="C435" s="4"/>
      <c r="D435" s="5"/>
      <c r="E435" s="6"/>
    </row>
    <row r="436" spans="1:5" x14ac:dyDescent="0.2">
      <c r="A436" s="2">
        <v>422</v>
      </c>
      <c r="B436" s="9"/>
      <c r="C436" s="4"/>
      <c r="D436" s="5"/>
      <c r="E436" s="6"/>
    </row>
    <row r="437" spans="1:5" x14ac:dyDescent="0.2">
      <c r="A437" s="2">
        <v>423</v>
      </c>
      <c r="B437" s="9"/>
      <c r="C437" s="4"/>
      <c r="D437" s="5"/>
      <c r="E437" s="6"/>
    </row>
    <row r="438" spans="1:5" x14ac:dyDescent="0.2">
      <c r="A438" s="2">
        <v>424</v>
      </c>
      <c r="B438" s="9"/>
      <c r="C438" s="4"/>
      <c r="D438" s="5"/>
      <c r="E438" s="6"/>
    </row>
    <row r="439" spans="1:5" x14ac:dyDescent="0.2">
      <c r="A439" s="2">
        <v>425</v>
      </c>
      <c r="B439" s="9"/>
      <c r="C439" s="4"/>
      <c r="D439" s="5"/>
      <c r="E439" s="6"/>
    </row>
    <row r="440" spans="1:5" x14ac:dyDescent="0.2">
      <c r="A440" s="2">
        <v>426</v>
      </c>
      <c r="B440" s="9"/>
      <c r="C440" s="4"/>
      <c r="D440" s="5"/>
      <c r="E440" s="6"/>
    </row>
    <row r="441" spans="1:5" x14ac:dyDescent="0.2">
      <c r="A441" s="2">
        <v>427</v>
      </c>
      <c r="B441" s="9"/>
      <c r="C441" s="4"/>
      <c r="D441" s="5"/>
      <c r="E441" s="6"/>
    </row>
    <row r="442" spans="1:5" x14ac:dyDescent="0.2">
      <c r="A442" s="2">
        <v>428</v>
      </c>
      <c r="B442" s="9"/>
      <c r="C442" s="4"/>
      <c r="D442" s="5"/>
      <c r="E442" s="6"/>
    </row>
    <row r="443" spans="1:5" x14ac:dyDescent="0.2">
      <c r="A443" s="2">
        <v>429</v>
      </c>
      <c r="B443" s="9"/>
      <c r="C443" s="4"/>
      <c r="D443" s="5"/>
      <c r="E443" s="6"/>
    </row>
    <row r="444" spans="1:5" x14ac:dyDescent="0.2">
      <c r="A444" s="2">
        <v>430</v>
      </c>
      <c r="B444" s="9"/>
      <c r="C444" s="4"/>
      <c r="D444" s="5"/>
      <c r="E444" s="6"/>
    </row>
    <row r="445" spans="1:5" x14ac:dyDescent="0.2">
      <c r="A445" s="2">
        <v>431</v>
      </c>
      <c r="B445" s="9"/>
      <c r="C445" s="4"/>
      <c r="D445" s="5"/>
      <c r="E445" s="6"/>
    </row>
    <row r="446" spans="1:5" x14ac:dyDescent="0.2">
      <c r="A446" s="2">
        <v>432</v>
      </c>
      <c r="B446" s="9"/>
      <c r="C446" s="4"/>
      <c r="D446" s="5"/>
      <c r="E446" s="6"/>
    </row>
    <row r="447" spans="1:5" x14ac:dyDescent="0.2">
      <c r="A447" s="2">
        <v>433</v>
      </c>
      <c r="B447" s="9"/>
      <c r="C447" s="4"/>
      <c r="D447" s="5"/>
      <c r="E447" s="6"/>
    </row>
    <row r="448" spans="1:5" x14ac:dyDescent="0.2">
      <c r="A448" s="2">
        <v>434</v>
      </c>
      <c r="B448" s="9"/>
      <c r="C448" s="4"/>
      <c r="D448" s="5"/>
      <c r="E448" s="6"/>
    </row>
    <row r="449" spans="1:5" x14ac:dyDescent="0.2">
      <c r="A449" s="2">
        <v>435</v>
      </c>
      <c r="B449" s="9"/>
      <c r="C449" s="4"/>
      <c r="D449" s="5"/>
      <c r="E449" s="6"/>
    </row>
    <row r="450" spans="1:5" x14ac:dyDescent="0.2">
      <c r="A450" s="2">
        <v>436</v>
      </c>
      <c r="B450" s="9"/>
      <c r="C450" s="4"/>
      <c r="D450" s="5"/>
      <c r="E450" s="6"/>
    </row>
    <row r="451" spans="1:5" x14ac:dyDescent="0.2">
      <c r="A451" s="2">
        <v>437</v>
      </c>
      <c r="B451" s="9"/>
      <c r="C451" s="4"/>
      <c r="D451" s="5"/>
      <c r="E451" s="6"/>
    </row>
    <row r="452" spans="1:5" x14ac:dyDescent="0.2">
      <c r="A452" s="2">
        <v>438</v>
      </c>
      <c r="B452" s="9"/>
      <c r="C452" s="4"/>
      <c r="D452" s="5"/>
      <c r="E452" s="6"/>
    </row>
    <row r="453" spans="1:5" x14ac:dyDescent="0.2">
      <c r="A453" s="2">
        <v>439</v>
      </c>
      <c r="B453" s="9"/>
      <c r="C453" s="4"/>
      <c r="D453" s="5"/>
      <c r="E453" s="6"/>
    </row>
    <row r="454" spans="1:5" x14ac:dyDescent="0.2">
      <c r="A454" s="2">
        <v>440</v>
      </c>
      <c r="B454" s="9"/>
      <c r="C454" s="4"/>
      <c r="D454" s="5"/>
      <c r="E454" s="6"/>
    </row>
    <row r="455" spans="1:5" x14ac:dyDescent="0.2">
      <c r="A455" s="2">
        <v>441</v>
      </c>
      <c r="B455" s="9"/>
      <c r="C455" s="4"/>
      <c r="D455" s="5"/>
      <c r="E455" s="6"/>
    </row>
    <row r="456" spans="1:5" x14ac:dyDescent="0.2">
      <c r="A456" s="2">
        <v>442</v>
      </c>
      <c r="B456" s="9"/>
      <c r="C456" s="4"/>
      <c r="D456" s="5"/>
      <c r="E456" s="6"/>
    </row>
    <row r="457" spans="1:5" x14ac:dyDescent="0.2">
      <c r="A457" s="2">
        <v>443</v>
      </c>
      <c r="B457" s="9"/>
      <c r="C457" s="4"/>
      <c r="D457" s="5"/>
      <c r="E457" s="6"/>
    </row>
    <row r="458" spans="1:5" x14ac:dyDescent="0.2">
      <c r="A458" s="2">
        <v>444</v>
      </c>
      <c r="B458" s="9"/>
      <c r="C458" s="4"/>
      <c r="D458" s="5"/>
      <c r="E458" s="6"/>
    </row>
    <row r="459" spans="1:5" x14ac:dyDescent="0.2">
      <c r="A459" s="2">
        <v>445</v>
      </c>
      <c r="B459" s="9"/>
      <c r="C459" s="4"/>
      <c r="D459" s="5"/>
      <c r="E459" s="6"/>
    </row>
    <row r="460" spans="1:5" x14ac:dyDescent="0.2">
      <c r="A460" s="2">
        <v>446</v>
      </c>
      <c r="B460" s="9"/>
      <c r="C460" s="4"/>
      <c r="D460" s="5"/>
      <c r="E460" s="6"/>
    </row>
    <row r="461" spans="1:5" x14ac:dyDescent="0.2">
      <c r="A461" s="2">
        <v>447</v>
      </c>
      <c r="B461" s="9"/>
      <c r="C461" s="4"/>
      <c r="D461" s="5"/>
      <c r="E461" s="6"/>
    </row>
    <row r="462" spans="1:5" x14ac:dyDescent="0.2">
      <c r="A462" s="2">
        <v>448</v>
      </c>
      <c r="B462" s="9"/>
      <c r="C462" s="4"/>
      <c r="D462" s="5"/>
      <c r="E462" s="6"/>
    </row>
    <row r="463" spans="1:5" x14ac:dyDescent="0.2">
      <c r="A463" s="2">
        <v>449</v>
      </c>
      <c r="B463" s="9"/>
      <c r="C463" s="4"/>
      <c r="D463" s="5"/>
      <c r="E463" s="6"/>
    </row>
    <row r="464" spans="1:5" x14ac:dyDescent="0.2">
      <c r="A464" s="2">
        <v>450</v>
      </c>
      <c r="B464" s="9"/>
      <c r="C464" s="4"/>
      <c r="D464" s="5"/>
      <c r="E464" s="6"/>
    </row>
    <row r="465" spans="1:5" x14ac:dyDescent="0.2">
      <c r="A465" s="2">
        <v>451</v>
      </c>
      <c r="B465" s="9"/>
      <c r="C465" s="4"/>
      <c r="D465" s="5"/>
      <c r="E465" s="6"/>
    </row>
    <row r="466" spans="1:5" x14ac:dyDescent="0.2">
      <c r="A466" s="2">
        <v>452</v>
      </c>
      <c r="B466" s="9"/>
      <c r="C466" s="4"/>
      <c r="D466" s="5"/>
      <c r="E466" s="6"/>
    </row>
    <row r="467" spans="1:5" x14ac:dyDescent="0.2">
      <c r="A467" s="2">
        <v>453</v>
      </c>
      <c r="B467" s="9"/>
      <c r="C467" s="4"/>
      <c r="D467" s="5"/>
      <c r="E467" s="6"/>
    </row>
    <row r="468" spans="1:5" x14ac:dyDescent="0.2">
      <c r="A468" s="2">
        <v>454</v>
      </c>
      <c r="B468" s="9"/>
      <c r="C468" s="4"/>
      <c r="D468" s="5"/>
      <c r="E468" s="6"/>
    </row>
    <row r="469" spans="1:5" x14ac:dyDescent="0.2">
      <c r="A469" s="2">
        <v>455</v>
      </c>
      <c r="B469" s="9"/>
      <c r="C469" s="4"/>
      <c r="D469" s="5"/>
      <c r="E469" s="6"/>
    </row>
    <row r="470" spans="1:5" x14ac:dyDescent="0.2">
      <c r="A470" s="2">
        <v>456</v>
      </c>
      <c r="B470" s="9"/>
      <c r="C470" s="4"/>
      <c r="D470" s="5"/>
      <c r="E470" s="6"/>
    </row>
    <row r="471" spans="1:5" x14ac:dyDescent="0.2">
      <c r="A471" s="2">
        <v>457</v>
      </c>
      <c r="B471" s="9"/>
      <c r="C471" s="4"/>
      <c r="D471" s="5"/>
      <c r="E471" s="6"/>
    </row>
    <row r="472" spans="1:5" x14ac:dyDescent="0.2">
      <c r="A472" s="2">
        <v>458</v>
      </c>
      <c r="B472" s="9"/>
      <c r="C472" s="4"/>
      <c r="D472" s="5"/>
      <c r="E472" s="6"/>
    </row>
    <row r="473" spans="1:5" x14ac:dyDescent="0.2">
      <c r="A473" s="2">
        <v>459</v>
      </c>
      <c r="B473" s="9"/>
      <c r="C473" s="4"/>
      <c r="D473" s="5"/>
      <c r="E473" s="6"/>
    </row>
    <row r="474" spans="1:5" x14ac:dyDescent="0.2">
      <c r="A474" s="2">
        <v>460</v>
      </c>
      <c r="B474" s="9"/>
      <c r="C474" s="4"/>
      <c r="D474" s="5"/>
      <c r="E474" s="6"/>
    </row>
    <row r="475" spans="1:5" x14ac:dyDescent="0.2">
      <c r="A475" s="2">
        <v>461</v>
      </c>
      <c r="B475" s="9"/>
      <c r="C475" s="4"/>
      <c r="D475" s="5"/>
      <c r="E475" s="6"/>
    </row>
    <row r="476" spans="1:5" x14ac:dyDescent="0.2">
      <c r="A476" s="2">
        <v>462</v>
      </c>
      <c r="B476" s="9"/>
      <c r="C476" s="4"/>
      <c r="D476" s="5"/>
      <c r="E476" s="6"/>
    </row>
    <row r="477" spans="1:5" x14ac:dyDescent="0.2">
      <c r="A477" s="2">
        <v>463</v>
      </c>
      <c r="B477" s="9"/>
      <c r="C477" s="4"/>
      <c r="D477" s="5"/>
      <c r="E477" s="6"/>
    </row>
    <row r="478" spans="1:5" x14ac:dyDescent="0.2">
      <c r="A478" s="2">
        <v>464</v>
      </c>
      <c r="B478" s="9"/>
      <c r="C478" s="4"/>
      <c r="D478" s="5"/>
      <c r="E478" s="6"/>
    </row>
    <row r="479" spans="1:5" x14ac:dyDescent="0.2">
      <c r="A479" s="2">
        <v>465</v>
      </c>
      <c r="B479" s="9"/>
      <c r="C479" s="4"/>
      <c r="D479" s="5"/>
      <c r="E479" s="6"/>
    </row>
    <row r="480" spans="1:5" x14ac:dyDescent="0.2">
      <c r="A480" s="2">
        <v>466</v>
      </c>
      <c r="B480" s="9"/>
      <c r="C480" s="4"/>
      <c r="D480" s="5"/>
      <c r="E480" s="6"/>
    </row>
    <row r="481" spans="1:5" x14ac:dyDescent="0.2">
      <c r="A481" s="2">
        <v>467</v>
      </c>
      <c r="B481" s="9"/>
      <c r="C481" s="4"/>
      <c r="D481" s="5"/>
      <c r="E481" s="6"/>
    </row>
    <row r="482" spans="1:5" x14ac:dyDescent="0.2">
      <c r="A482" s="2">
        <v>468</v>
      </c>
      <c r="B482" s="9"/>
      <c r="C482" s="4"/>
      <c r="D482" s="5"/>
      <c r="E482" s="6"/>
    </row>
    <row r="483" spans="1:5" x14ac:dyDescent="0.2">
      <c r="A483" s="2">
        <v>469</v>
      </c>
      <c r="B483" s="9"/>
      <c r="C483" s="4"/>
      <c r="D483" s="5"/>
      <c r="E483" s="6"/>
    </row>
    <row r="484" spans="1:5" x14ac:dyDescent="0.2">
      <c r="A484" s="2">
        <v>470</v>
      </c>
      <c r="B484" s="9"/>
      <c r="C484" s="4"/>
      <c r="D484" s="5"/>
      <c r="E484" s="6"/>
    </row>
    <row r="485" spans="1:5" x14ac:dyDescent="0.2">
      <c r="A485" s="2">
        <v>471</v>
      </c>
      <c r="B485" s="9"/>
      <c r="C485" s="4"/>
      <c r="D485" s="5"/>
      <c r="E485" s="6"/>
    </row>
    <row r="486" spans="1:5" x14ac:dyDescent="0.2">
      <c r="A486" s="2">
        <v>472</v>
      </c>
      <c r="B486" s="9"/>
      <c r="C486" s="4"/>
      <c r="D486" s="5"/>
      <c r="E486" s="6"/>
    </row>
    <row r="487" spans="1:5" x14ac:dyDescent="0.2">
      <c r="A487" s="2">
        <v>473</v>
      </c>
      <c r="B487" s="9"/>
      <c r="C487" s="4"/>
      <c r="D487" s="5"/>
      <c r="E487" s="6"/>
    </row>
    <row r="488" spans="1:5" x14ac:dyDescent="0.2">
      <c r="A488" s="2">
        <v>474</v>
      </c>
      <c r="B488" s="9"/>
      <c r="C488" s="4"/>
      <c r="D488" s="5"/>
      <c r="E488" s="6"/>
    </row>
    <row r="489" spans="1:5" x14ac:dyDescent="0.2">
      <c r="A489" s="2">
        <v>475</v>
      </c>
      <c r="B489" s="9"/>
      <c r="C489" s="4"/>
      <c r="D489" s="5"/>
      <c r="E489" s="6"/>
    </row>
    <row r="490" spans="1:5" x14ac:dyDescent="0.2">
      <c r="A490" s="2">
        <v>476</v>
      </c>
      <c r="B490" s="9"/>
      <c r="C490" s="4"/>
      <c r="D490" s="5"/>
      <c r="E490" s="6"/>
    </row>
    <row r="491" spans="1:5" x14ac:dyDescent="0.2">
      <c r="A491" s="2">
        <v>477</v>
      </c>
      <c r="B491" s="9"/>
      <c r="C491" s="4"/>
      <c r="D491" s="5"/>
      <c r="E491" s="6"/>
    </row>
    <row r="492" spans="1:5" x14ac:dyDescent="0.2">
      <c r="A492" s="2">
        <v>478</v>
      </c>
      <c r="B492" s="9"/>
      <c r="C492" s="4"/>
      <c r="D492" s="5"/>
      <c r="E492" s="6"/>
    </row>
    <row r="493" spans="1:5" x14ac:dyDescent="0.2">
      <c r="A493" s="2">
        <v>479</v>
      </c>
      <c r="B493" s="9"/>
      <c r="C493" s="4"/>
      <c r="D493" s="5"/>
      <c r="E493" s="6"/>
    </row>
    <row r="494" spans="1:5" x14ac:dyDescent="0.2">
      <c r="A494" s="2">
        <v>480</v>
      </c>
      <c r="B494" s="9"/>
      <c r="C494" s="4"/>
      <c r="D494" s="5"/>
      <c r="E494" s="6"/>
    </row>
    <row r="495" spans="1:5" x14ac:dyDescent="0.2">
      <c r="A495" s="2">
        <v>481</v>
      </c>
      <c r="B495" s="9"/>
      <c r="C495" s="4"/>
      <c r="D495" s="5"/>
      <c r="E495" s="6"/>
    </row>
    <row r="496" spans="1:5" x14ac:dyDescent="0.2">
      <c r="A496" s="2">
        <v>482</v>
      </c>
      <c r="B496" s="9"/>
      <c r="C496" s="4"/>
      <c r="D496" s="5"/>
      <c r="E496" s="6"/>
    </row>
    <row r="497" spans="1:5" x14ac:dyDescent="0.2">
      <c r="A497" s="2">
        <v>483</v>
      </c>
      <c r="B497" s="9"/>
      <c r="C497" s="4"/>
      <c r="D497" s="5"/>
      <c r="E497" s="6"/>
    </row>
    <row r="498" spans="1:5" x14ac:dyDescent="0.2">
      <c r="A498" s="2">
        <v>484</v>
      </c>
      <c r="B498" s="9"/>
      <c r="C498" s="4"/>
      <c r="D498" s="5"/>
      <c r="E498" s="6"/>
    </row>
    <row r="499" spans="1:5" x14ac:dyDescent="0.2">
      <c r="A499" s="2">
        <v>485</v>
      </c>
      <c r="B499" s="9"/>
      <c r="C499" s="4"/>
      <c r="D499" s="5"/>
      <c r="E499" s="6"/>
    </row>
    <row r="500" spans="1:5" x14ac:dyDescent="0.2">
      <c r="A500" s="2">
        <v>486</v>
      </c>
      <c r="B500" s="9"/>
      <c r="C500" s="4"/>
      <c r="D500" s="5"/>
      <c r="E500" s="6"/>
    </row>
    <row r="501" spans="1:5" x14ac:dyDescent="0.2">
      <c r="A501" s="2">
        <v>487</v>
      </c>
      <c r="B501" s="9"/>
      <c r="C501" s="4"/>
      <c r="D501" s="5"/>
      <c r="E501" s="6"/>
    </row>
    <row r="502" spans="1:5" x14ac:dyDescent="0.2">
      <c r="A502" s="2">
        <v>488</v>
      </c>
      <c r="B502" s="9"/>
      <c r="C502" s="4"/>
      <c r="D502" s="5"/>
      <c r="E502" s="6"/>
    </row>
    <row r="503" spans="1:5" x14ac:dyDescent="0.2">
      <c r="A503" s="2">
        <v>489</v>
      </c>
      <c r="B503" s="9"/>
      <c r="C503" s="4"/>
      <c r="D503" s="5"/>
      <c r="E503" s="6"/>
    </row>
    <row r="504" spans="1:5" x14ac:dyDescent="0.2">
      <c r="A504" s="2">
        <v>490</v>
      </c>
      <c r="B504" s="9"/>
      <c r="C504" s="4"/>
      <c r="D504" s="5"/>
      <c r="E504" s="6"/>
    </row>
    <row r="505" spans="1:5" x14ac:dyDescent="0.2">
      <c r="A505" s="2">
        <v>491</v>
      </c>
      <c r="B505" s="9"/>
      <c r="C505" s="4"/>
      <c r="D505" s="5"/>
      <c r="E505" s="6"/>
    </row>
    <row r="506" spans="1:5" x14ac:dyDescent="0.2">
      <c r="A506" s="2">
        <v>492</v>
      </c>
      <c r="B506" s="9"/>
      <c r="C506" s="4"/>
      <c r="D506" s="5"/>
      <c r="E506" s="6"/>
    </row>
    <row r="507" spans="1:5" x14ac:dyDescent="0.2">
      <c r="A507" s="2">
        <v>493</v>
      </c>
      <c r="B507" s="9"/>
      <c r="C507" s="4"/>
      <c r="D507" s="5"/>
      <c r="E507" s="6"/>
    </row>
    <row r="508" spans="1:5" x14ac:dyDescent="0.2">
      <c r="A508" s="2">
        <v>494</v>
      </c>
      <c r="B508" s="9"/>
      <c r="C508" s="4"/>
      <c r="D508" s="5"/>
      <c r="E508" s="6"/>
    </row>
    <row r="509" spans="1:5" x14ac:dyDescent="0.2">
      <c r="A509" s="2">
        <v>495</v>
      </c>
      <c r="B509" s="9"/>
      <c r="C509" s="4"/>
      <c r="D509" s="5"/>
      <c r="E509" s="6"/>
    </row>
    <row r="510" spans="1:5" x14ac:dyDescent="0.2">
      <c r="A510" s="2">
        <v>496</v>
      </c>
      <c r="B510" s="9"/>
      <c r="C510" s="4"/>
      <c r="D510" s="5"/>
      <c r="E510" s="6"/>
    </row>
    <row r="511" spans="1:5" x14ac:dyDescent="0.2">
      <c r="A511" s="2">
        <v>497</v>
      </c>
      <c r="B511" s="9"/>
      <c r="C511" s="4"/>
      <c r="D511" s="5"/>
      <c r="E511" s="6"/>
    </row>
    <row r="512" spans="1:5" x14ac:dyDescent="0.2">
      <c r="A512" s="2">
        <v>498</v>
      </c>
      <c r="B512" s="9"/>
      <c r="C512" s="4"/>
      <c r="D512" s="5"/>
      <c r="E512" s="6"/>
    </row>
    <row r="513" spans="1:5" x14ac:dyDescent="0.2">
      <c r="A513" s="2">
        <v>499</v>
      </c>
      <c r="B513" s="9"/>
      <c r="C513" s="4"/>
      <c r="D513" s="5"/>
      <c r="E513" s="6"/>
    </row>
    <row r="514" spans="1:5" x14ac:dyDescent="0.2">
      <c r="A514" s="2">
        <v>500</v>
      </c>
      <c r="B514" s="9"/>
      <c r="C514" s="4"/>
      <c r="D514" s="5"/>
      <c r="E514" s="6"/>
    </row>
    <row r="515" spans="1:5" x14ac:dyDescent="0.2">
      <c r="A515" s="2">
        <v>501</v>
      </c>
      <c r="B515" s="9"/>
      <c r="C515" s="4"/>
      <c r="D515" s="5"/>
      <c r="E515" s="6"/>
    </row>
    <row r="516" spans="1:5" x14ac:dyDescent="0.2">
      <c r="A516" s="2">
        <v>502</v>
      </c>
      <c r="B516" s="9"/>
      <c r="C516" s="4"/>
      <c r="D516" s="5"/>
      <c r="E516" s="6"/>
    </row>
    <row r="517" spans="1:5" x14ac:dyDescent="0.2">
      <c r="A517" s="2">
        <v>503</v>
      </c>
      <c r="B517" s="9"/>
      <c r="C517" s="4"/>
      <c r="D517" s="5"/>
      <c r="E517" s="6"/>
    </row>
    <row r="518" spans="1:5" x14ac:dyDescent="0.2">
      <c r="A518" s="2">
        <v>504</v>
      </c>
      <c r="B518" s="9"/>
      <c r="C518" s="4"/>
      <c r="D518" s="5"/>
      <c r="E518" s="6"/>
    </row>
    <row r="519" spans="1:5" x14ac:dyDescent="0.2">
      <c r="A519" s="2">
        <v>505</v>
      </c>
      <c r="B519" s="9"/>
      <c r="C519" s="4"/>
      <c r="D519" s="5"/>
      <c r="E519" s="6"/>
    </row>
    <row r="520" spans="1:5" x14ac:dyDescent="0.2">
      <c r="A520" s="2">
        <v>506</v>
      </c>
      <c r="B520" s="9"/>
      <c r="C520" s="4"/>
      <c r="D520" s="5"/>
      <c r="E520" s="6"/>
    </row>
    <row r="521" spans="1:5" x14ac:dyDescent="0.2">
      <c r="A521" s="2">
        <v>507</v>
      </c>
      <c r="B521" s="9"/>
      <c r="C521" s="4"/>
      <c r="D521" s="5"/>
      <c r="E521" s="6"/>
    </row>
    <row r="522" spans="1:5" x14ac:dyDescent="0.2">
      <c r="A522" s="2">
        <v>508</v>
      </c>
      <c r="B522" s="9"/>
      <c r="C522" s="4"/>
      <c r="D522" s="5"/>
      <c r="E522" s="6"/>
    </row>
    <row r="523" spans="1:5" x14ac:dyDescent="0.2">
      <c r="A523" s="2">
        <v>509</v>
      </c>
      <c r="B523" s="9"/>
      <c r="C523" s="4"/>
      <c r="D523" s="5"/>
      <c r="E523" s="6"/>
    </row>
    <row r="524" spans="1:5" x14ac:dyDescent="0.2">
      <c r="A524" s="2">
        <v>510</v>
      </c>
      <c r="B524" s="9"/>
      <c r="C524" s="4"/>
      <c r="D524" s="5"/>
      <c r="E524" s="6"/>
    </row>
    <row r="525" spans="1:5" x14ac:dyDescent="0.2">
      <c r="A525" s="2">
        <v>511</v>
      </c>
      <c r="B525" s="9"/>
      <c r="C525" s="4"/>
      <c r="D525" s="5"/>
      <c r="E525" s="6"/>
    </row>
    <row r="526" spans="1:5" x14ac:dyDescent="0.2">
      <c r="A526" s="2">
        <v>512</v>
      </c>
      <c r="B526" s="9"/>
      <c r="C526" s="4"/>
      <c r="D526" s="5"/>
      <c r="E526" s="6"/>
    </row>
    <row r="527" spans="1:5" x14ac:dyDescent="0.2">
      <c r="A527" s="2">
        <v>513</v>
      </c>
      <c r="B527" s="9"/>
      <c r="C527" s="4"/>
      <c r="D527" s="5"/>
      <c r="E527" s="6"/>
    </row>
    <row r="528" spans="1:5" x14ac:dyDescent="0.2">
      <c r="A528" s="2">
        <v>514</v>
      </c>
      <c r="B528" s="9"/>
      <c r="C528" s="4"/>
      <c r="D528" s="5"/>
      <c r="E528" s="6"/>
    </row>
    <row r="529" spans="1:5" x14ac:dyDescent="0.2">
      <c r="A529" s="2">
        <v>515</v>
      </c>
      <c r="B529" s="9"/>
      <c r="C529" s="4"/>
      <c r="D529" s="5"/>
      <c r="E529" s="6"/>
    </row>
    <row r="530" spans="1:5" x14ac:dyDescent="0.2">
      <c r="A530" s="2">
        <v>516</v>
      </c>
      <c r="B530" s="9"/>
      <c r="C530" s="4"/>
      <c r="D530" s="5"/>
      <c r="E530" s="6"/>
    </row>
    <row r="531" spans="1:5" x14ac:dyDescent="0.2">
      <c r="A531" s="2">
        <v>517</v>
      </c>
      <c r="B531" s="9"/>
      <c r="C531" s="4"/>
      <c r="D531" s="5"/>
      <c r="E531" s="6"/>
    </row>
    <row r="532" spans="1:5" x14ac:dyDescent="0.2">
      <c r="A532" s="2">
        <v>518</v>
      </c>
      <c r="B532" s="9"/>
      <c r="C532" s="4"/>
      <c r="D532" s="5"/>
      <c r="E532" s="6"/>
    </row>
    <row r="533" spans="1:5" x14ac:dyDescent="0.2">
      <c r="A533" s="2">
        <v>519</v>
      </c>
      <c r="B533" s="9"/>
      <c r="C533" s="4"/>
      <c r="D533" s="5"/>
      <c r="E533" s="6"/>
    </row>
    <row r="534" spans="1:5" x14ac:dyDescent="0.2">
      <c r="A534" s="2">
        <v>520</v>
      </c>
      <c r="B534" s="9"/>
      <c r="C534" s="4"/>
      <c r="D534" s="5"/>
      <c r="E534" s="6"/>
    </row>
    <row r="535" spans="1:5" x14ac:dyDescent="0.2">
      <c r="A535" s="2">
        <v>521</v>
      </c>
      <c r="B535" s="9"/>
      <c r="C535" s="4"/>
      <c r="D535" s="5"/>
      <c r="E535" s="6"/>
    </row>
    <row r="536" spans="1:5" x14ac:dyDescent="0.2">
      <c r="A536" s="2">
        <v>522</v>
      </c>
      <c r="B536" s="9"/>
      <c r="C536" s="4"/>
      <c r="D536" s="5"/>
      <c r="E536" s="6"/>
    </row>
    <row r="537" spans="1:5" x14ac:dyDescent="0.2">
      <c r="A537" s="2">
        <v>523</v>
      </c>
      <c r="B537" s="9"/>
      <c r="C537" s="4"/>
      <c r="D537" s="5"/>
      <c r="E537" s="6"/>
    </row>
    <row r="538" spans="1:5" x14ac:dyDescent="0.2">
      <c r="A538" s="2">
        <v>524</v>
      </c>
      <c r="B538" s="9"/>
      <c r="C538" s="4"/>
      <c r="D538" s="5"/>
      <c r="E538" s="6"/>
    </row>
    <row r="539" spans="1:5" x14ac:dyDescent="0.2">
      <c r="A539" s="2">
        <v>525</v>
      </c>
      <c r="B539" s="9"/>
      <c r="C539" s="4"/>
      <c r="D539" s="5"/>
      <c r="E539" s="6"/>
    </row>
    <row r="540" spans="1:5" x14ac:dyDescent="0.2">
      <c r="A540" s="2">
        <v>526</v>
      </c>
      <c r="B540" s="9"/>
      <c r="C540" s="4"/>
      <c r="D540" s="5"/>
      <c r="E540" s="6"/>
    </row>
    <row r="541" spans="1:5" x14ac:dyDescent="0.2">
      <c r="A541" s="2">
        <v>527</v>
      </c>
      <c r="B541" s="9"/>
      <c r="C541" s="4"/>
      <c r="D541" s="5"/>
      <c r="E541" s="6"/>
    </row>
    <row r="542" spans="1:5" x14ac:dyDescent="0.2">
      <c r="A542" s="2">
        <v>528</v>
      </c>
      <c r="B542" s="9"/>
      <c r="C542" s="4"/>
      <c r="D542" s="5"/>
      <c r="E542" s="6"/>
    </row>
    <row r="543" spans="1:5" x14ac:dyDescent="0.2">
      <c r="A543" s="2">
        <v>529</v>
      </c>
      <c r="B543" s="9"/>
      <c r="C543" s="4"/>
      <c r="D543" s="5"/>
      <c r="E543" s="6"/>
    </row>
    <row r="544" spans="1:5" x14ac:dyDescent="0.2">
      <c r="A544" s="2">
        <v>530</v>
      </c>
      <c r="B544" s="9"/>
      <c r="C544" s="4"/>
      <c r="D544" s="5"/>
      <c r="E544" s="6"/>
    </row>
    <row r="545" spans="1:5" x14ac:dyDescent="0.2">
      <c r="A545" s="2">
        <v>531</v>
      </c>
      <c r="B545" s="9"/>
      <c r="C545" s="4"/>
      <c r="D545" s="5"/>
      <c r="E545" s="6"/>
    </row>
    <row r="546" spans="1:5" x14ac:dyDescent="0.2">
      <c r="A546" s="2">
        <v>532</v>
      </c>
      <c r="B546" s="9"/>
      <c r="C546" s="4"/>
      <c r="D546" s="5"/>
      <c r="E546" s="6"/>
    </row>
    <row r="547" spans="1:5" x14ac:dyDescent="0.2">
      <c r="A547" s="2">
        <v>533</v>
      </c>
      <c r="B547" s="9"/>
      <c r="C547" s="4"/>
      <c r="D547" s="5"/>
      <c r="E547" s="6"/>
    </row>
    <row r="548" spans="1:5" x14ac:dyDescent="0.2">
      <c r="A548" s="2">
        <v>534</v>
      </c>
      <c r="B548" s="9"/>
      <c r="C548" s="4"/>
      <c r="D548" s="5"/>
      <c r="E548" s="6"/>
    </row>
    <row r="549" spans="1:5" x14ac:dyDescent="0.2">
      <c r="A549" s="2">
        <v>535</v>
      </c>
      <c r="B549" s="9"/>
      <c r="C549" s="4"/>
      <c r="D549" s="5"/>
      <c r="E549" s="6"/>
    </row>
    <row r="550" spans="1:5" x14ac:dyDescent="0.2">
      <c r="A550" s="2">
        <v>536</v>
      </c>
      <c r="B550" s="9"/>
      <c r="C550" s="4"/>
      <c r="D550" s="5"/>
      <c r="E550" s="6"/>
    </row>
    <row r="551" spans="1:5" x14ac:dyDescent="0.2">
      <c r="A551" s="2">
        <v>537</v>
      </c>
      <c r="B551" s="9"/>
      <c r="C551" s="4"/>
      <c r="D551" s="5"/>
      <c r="E551" s="6"/>
    </row>
    <row r="552" spans="1:5" x14ac:dyDescent="0.2">
      <c r="A552" s="2">
        <v>538</v>
      </c>
      <c r="B552" s="9"/>
      <c r="C552" s="4"/>
      <c r="D552" s="5"/>
      <c r="E552" s="6"/>
    </row>
    <row r="553" spans="1:5" x14ac:dyDescent="0.2">
      <c r="A553" s="2">
        <v>539</v>
      </c>
      <c r="B553" s="9"/>
      <c r="C553" s="4"/>
      <c r="D553" s="5"/>
      <c r="E553" s="6"/>
    </row>
    <row r="554" spans="1:5" x14ac:dyDescent="0.2">
      <c r="A554" s="2">
        <v>540</v>
      </c>
      <c r="B554" s="9"/>
      <c r="C554" s="4"/>
      <c r="D554" s="5"/>
      <c r="E554" s="6"/>
    </row>
    <row r="555" spans="1:5" x14ac:dyDescent="0.2">
      <c r="A555" s="2">
        <v>541</v>
      </c>
      <c r="B555" s="9"/>
      <c r="C555" s="4"/>
      <c r="D555" s="5"/>
      <c r="E555" s="6"/>
    </row>
    <row r="556" spans="1:5" x14ac:dyDescent="0.2">
      <c r="A556" s="2">
        <v>542</v>
      </c>
      <c r="B556" s="9"/>
      <c r="C556" s="4"/>
      <c r="D556" s="5"/>
      <c r="E556" s="6"/>
    </row>
    <row r="557" spans="1:5" x14ac:dyDescent="0.2">
      <c r="A557" s="2">
        <v>543</v>
      </c>
      <c r="B557" s="9"/>
      <c r="C557" s="4"/>
      <c r="D557" s="5"/>
      <c r="E557" s="6"/>
    </row>
    <row r="558" spans="1:5" x14ac:dyDescent="0.2">
      <c r="A558" s="2">
        <v>544</v>
      </c>
      <c r="B558" s="9"/>
      <c r="C558" s="4"/>
      <c r="D558" s="5"/>
      <c r="E558" s="6"/>
    </row>
    <row r="559" spans="1:5" x14ac:dyDescent="0.2">
      <c r="A559" s="2">
        <v>545</v>
      </c>
      <c r="B559" s="9"/>
      <c r="C559" s="4"/>
      <c r="D559" s="5"/>
      <c r="E559" s="6"/>
    </row>
    <row r="560" spans="1:5" x14ac:dyDescent="0.2">
      <c r="A560" s="2">
        <v>546</v>
      </c>
      <c r="B560" s="9"/>
      <c r="C560" s="4"/>
      <c r="D560" s="5"/>
      <c r="E560" s="6"/>
    </row>
    <row r="561" spans="1:5" x14ac:dyDescent="0.2">
      <c r="A561" s="2">
        <v>547</v>
      </c>
      <c r="B561" s="9"/>
      <c r="C561" s="4"/>
      <c r="D561" s="5"/>
      <c r="E561" s="6"/>
    </row>
    <row r="562" spans="1:5" x14ac:dyDescent="0.2">
      <c r="A562" s="2">
        <v>548</v>
      </c>
      <c r="B562" s="9"/>
      <c r="C562" s="4"/>
      <c r="D562" s="5"/>
      <c r="E562" s="6"/>
    </row>
    <row r="563" spans="1:5" x14ac:dyDescent="0.2">
      <c r="A563" s="2">
        <v>549</v>
      </c>
      <c r="B563" s="9"/>
      <c r="C563" s="4"/>
      <c r="D563" s="5"/>
      <c r="E563" s="6"/>
    </row>
    <row r="564" spans="1:5" x14ac:dyDescent="0.2">
      <c r="A564" s="2">
        <v>550</v>
      </c>
      <c r="B564" s="9"/>
      <c r="C564" s="4"/>
      <c r="D564" s="5"/>
      <c r="E564" s="6"/>
    </row>
    <row r="565" spans="1:5" x14ac:dyDescent="0.2">
      <c r="A565" s="2">
        <v>551</v>
      </c>
      <c r="B565" s="9"/>
      <c r="C565" s="4"/>
      <c r="D565" s="5"/>
      <c r="E565" s="6"/>
    </row>
    <row r="566" spans="1:5" x14ac:dyDescent="0.2">
      <c r="A566" s="2">
        <v>552</v>
      </c>
      <c r="B566" s="9"/>
      <c r="C566" s="4"/>
      <c r="D566" s="5"/>
      <c r="E566" s="6"/>
    </row>
    <row r="567" spans="1:5" x14ac:dyDescent="0.2">
      <c r="A567" s="2">
        <v>553</v>
      </c>
      <c r="B567" s="9"/>
      <c r="C567" s="4"/>
      <c r="D567" s="5"/>
      <c r="E567" s="6"/>
    </row>
    <row r="568" spans="1:5" x14ac:dyDescent="0.2">
      <c r="A568" s="2">
        <v>554</v>
      </c>
      <c r="B568" s="9"/>
      <c r="C568" s="4"/>
      <c r="D568" s="5"/>
      <c r="E568" s="6"/>
    </row>
    <row r="569" spans="1:5" x14ac:dyDescent="0.2">
      <c r="A569" s="2">
        <v>555</v>
      </c>
      <c r="B569" s="9"/>
      <c r="C569" s="4"/>
      <c r="D569" s="5"/>
      <c r="E569" s="6"/>
    </row>
    <row r="570" spans="1:5" x14ac:dyDescent="0.2">
      <c r="A570" s="2">
        <v>556</v>
      </c>
      <c r="B570" s="9"/>
      <c r="C570" s="4"/>
      <c r="D570" s="5"/>
      <c r="E570" s="6"/>
    </row>
    <row r="571" spans="1:5" x14ac:dyDescent="0.2">
      <c r="A571" s="2">
        <v>557</v>
      </c>
      <c r="B571" s="9"/>
      <c r="C571" s="4"/>
      <c r="D571" s="5"/>
      <c r="E571" s="6"/>
    </row>
    <row r="572" spans="1:5" x14ac:dyDescent="0.2">
      <c r="A572" s="2">
        <v>558</v>
      </c>
      <c r="B572" s="9"/>
      <c r="C572" s="4"/>
      <c r="D572" s="5"/>
      <c r="E572" s="6"/>
    </row>
    <row r="573" spans="1:5" x14ac:dyDescent="0.2">
      <c r="A573" s="2">
        <v>559</v>
      </c>
      <c r="B573" s="9"/>
      <c r="C573" s="4"/>
      <c r="D573" s="5"/>
      <c r="E573" s="6"/>
    </row>
    <row r="574" spans="1:5" x14ac:dyDescent="0.2">
      <c r="A574" s="2">
        <v>560</v>
      </c>
      <c r="B574" s="9"/>
      <c r="C574" s="4"/>
      <c r="D574" s="5"/>
      <c r="E574" s="6"/>
    </row>
    <row r="575" spans="1:5" x14ac:dyDescent="0.2">
      <c r="A575" s="2">
        <v>561</v>
      </c>
      <c r="B575" s="9"/>
      <c r="C575" s="4"/>
      <c r="D575" s="5"/>
      <c r="E575" s="6"/>
    </row>
    <row r="576" spans="1:5" x14ac:dyDescent="0.2">
      <c r="A576" s="2">
        <v>562</v>
      </c>
      <c r="B576" s="9"/>
      <c r="C576" s="4"/>
      <c r="D576" s="5"/>
      <c r="E576" s="6"/>
    </row>
    <row r="577" spans="1:5" x14ac:dyDescent="0.2">
      <c r="A577" s="2">
        <v>563</v>
      </c>
      <c r="B577" s="9"/>
      <c r="C577" s="4"/>
      <c r="D577" s="5"/>
      <c r="E577" s="6"/>
    </row>
    <row r="578" spans="1:5" x14ac:dyDescent="0.2">
      <c r="A578" s="2">
        <v>564</v>
      </c>
      <c r="B578" s="9"/>
      <c r="C578" s="4"/>
      <c r="D578" s="5"/>
      <c r="E578" s="6"/>
    </row>
    <row r="579" spans="1:5" x14ac:dyDescent="0.2">
      <c r="A579" s="2">
        <v>565</v>
      </c>
      <c r="B579" s="9"/>
      <c r="C579" s="4"/>
      <c r="D579" s="5"/>
      <c r="E579" s="6"/>
    </row>
    <row r="580" spans="1:5" x14ac:dyDescent="0.2">
      <c r="A580" s="2">
        <v>566</v>
      </c>
      <c r="B580" s="9"/>
      <c r="C580" s="4"/>
      <c r="D580" s="5"/>
      <c r="E580" s="6"/>
    </row>
    <row r="581" spans="1:5" x14ac:dyDescent="0.2">
      <c r="A581" s="2">
        <v>567</v>
      </c>
      <c r="B581" s="9"/>
      <c r="C581" s="4"/>
      <c r="D581" s="5"/>
      <c r="E581" s="6"/>
    </row>
    <row r="582" spans="1:5" x14ac:dyDescent="0.2">
      <c r="A582" s="2">
        <v>568</v>
      </c>
      <c r="B582" s="9"/>
      <c r="C582" s="4"/>
      <c r="D582" s="5"/>
      <c r="E582" s="6"/>
    </row>
    <row r="583" spans="1:5" x14ac:dyDescent="0.2">
      <c r="A583" s="2">
        <v>569</v>
      </c>
      <c r="B583" s="9"/>
      <c r="C583" s="4"/>
      <c r="D583" s="5"/>
      <c r="E583" s="6"/>
    </row>
    <row r="584" spans="1:5" x14ac:dyDescent="0.2">
      <c r="A584" s="2">
        <v>570</v>
      </c>
      <c r="B584" s="9"/>
      <c r="C584" s="4"/>
      <c r="D584" s="5"/>
      <c r="E584" s="6"/>
    </row>
    <row r="585" spans="1:5" x14ac:dyDescent="0.2">
      <c r="A585" s="2">
        <v>571</v>
      </c>
      <c r="B585" s="9"/>
      <c r="C585" s="4"/>
      <c r="D585" s="5"/>
      <c r="E585" s="6"/>
    </row>
    <row r="586" spans="1:5" x14ac:dyDescent="0.2">
      <c r="A586" s="2">
        <v>572</v>
      </c>
      <c r="B586" s="9"/>
      <c r="C586" s="4"/>
      <c r="D586" s="5"/>
      <c r="E586" s="6"/>
    </row>
    <row r="587" spans="1:5" x14ac:dyDescent="0.2">
      <c r="A587" s="2">
        <v>573</v>
      </c>
      <c r="B587" s="9"/>
      <c r="C587" s="4"/>
      <c r="D587" s="5"/>
      <c r="E587" s="6"/>
    </row>
    <row r="588" spans="1:5" x14ac:dyDescent="0.2">
      <c r="A588" s="2">
        <v>574</v>
      </c>
      <c r="B588" s="9"/>
      <c r="C588" s="4"/>
      <c r="D588" s="5"/>
      <c r="E588" s="6"/>
    </row>
    <row r="589" spans="1:5" x14ac:dyDescent="0.2">
      <c r="A589" s="2">
        <v>575</v>
      </c>
      <c r="B589" s="9"/>
      <c r="C589" s="4"/>
      <c r="D589" s="5"/>
      <c r="E589" s="6"/>
    </row>
    <row r="590" spans="1:5" x14ac:dyDescent="0.2">
      <c r="A590" s="2">
        <v>576</v>
      </c>
      <c r="B590" s="9"/>
      <c r="C590" s="4"/>
      <c r="D590" s="5"/>
      <c r="E590" s="6"/>
    </row>
    <row r="591" spans="1:5" x14ac:dyDescent="0.2">
      <c r="A591" s="2">
        <v>577</v>
      </c>
      <c r="B591" s="9"/>
      <c r="C591" s="4"/>
      <c r="D591" s="5"/>
      <c r="E591" s="6"/>
    </row>
    <row r="592" spans="1:5" x14ac:dyDescent="0.2">
      <c r="A592" s="2">
        <v>578</v>
      </c>
      <c r="B592" s="9"/>
      <c r="C592" s="4"/>
      <c r="D592" s="5"/>
      <c r="E592" s="6"/>
    </row>
    <row r="593" spans="1:5" x14ac:dyDescent="0.2">
      <c r="A593" s="2">
        <v>579</v>
      </c>
      <c r="B593" s="9"/>
      <c r="C593" s="4"/>
      <c r="D593" s="5"/>
      <c r="E593" s="6"/>
    </row>
    <row r="594" spans="1:5" x14ac:dyDescent="0.2">
      <c r="A594" s="2">
        <v>580</v>
      </c>
      <c r="B594" s="9"/>
      <c r="C594" s="4"/>
      <c r="D594" s="5"/>
      <c r="E594" s="6"/>
    </row>
    <row r="595" spans="1:5" x14ac:dyDescent="0.2">
      <c r="A595" s="2">
        <v>581</v>
      </c>
      <c r="B595" s="9"/>
      <c r="C595" s="4"/>
      <c r="D595" s="5"/>
      <c r="E595" s="6"/>
    </row>
    <row r="596" spans="1:5" x14ac:dyDescent="0.2">
      <c r="A596" s="2">
        <v>582</v>
      </c>
      <c r="B596" s="9"/>
      <c r="C596" s="4"/>
      <c r="D596" s="5"/>
      <c r="E596" s="6"/>
    </row>
    <row r="597" spans="1:5" x14ac:dyDescent="0.2">
      <c r="A597" s="2">
        <v>583</v>
      </c>
      <c r="B597" s="9"/>
      <c r="C597" s="4"/>
      <c r="D597" s="5"/>
      <c r="E597" s="6"/>
    </row>
    <row r="598" spans="1:5" x14ac:dyDescent="0.2">
      <c r="A598" s="2">
        <v>584</v>
      </c>
      <c r="B598" s="9"/>
      <c r="C598" s="4"/>
      <c r="D598" s="5"/>
      <c r="E598" s="6"/>
    </row>
    <row r="599" spans="1:5" x14ac:dyDescent="0.2">
      <c r="A599" s="2">
        <v>585</v>
      </c>
      <c r="B599" s="9"/>
      <c r="C599" s="4"/>
      <c r="D599" s="5"/>
      <c r="E599" s="6"/>
    </row>
    <row r="600" spans="1:5" x14ac:dyDescent="0.2">
      <c r="A600" s="2">
        <v>586</v>
      </c>
      <c r="B600" s="9"/>
      <c r="C600" s="4"/>
      <c r="D600" s="5"/>
      <c r="E600" s="6"/>
    </row>
    <row r="601" spans="1:5" x14ac:dyDescent="0.2">
      <c r="A601" s="2">
        <v>587</v>
      </c>
      <c r="B601" s="9"/>
      <c r="C601" s="4"/>
      <c r="D601" s="5"/>
      <c r="E601" s="6"/>
    </row>
    <row r="602" spans="1:5" x14ac:dyDescent="0.2">
      <c r="A602" s="2">
        <v>588</v>
      </c>
      <c r="B602" s="9"/>
      <c r="C602" s="4"/>
      <c r="D602" s="5"/>
      <c r="E602" s="6"/>
    </row>
    <row r="603" spans="1:5" x14ac:dyDescent="0.2">
      <c r="A603" s="2">
        <v>589</v>
      </c>
      <c r="B603" s="9"/>
      <c r="C603" s="4"/>
      <c r="D603" s="5"/>
      <c r="E603" s="6"/>
    </row>
    <row r="604" spans="1:5" x14ac:dyDescent="0.2">
      <c r="A604" s="2">
        <v>590</v>
      </c>
      <c r="B604" s="9"/>
      <c r="C604" s="4"/>
      <c r="D604" s="5"/>
      <c r="E604" s="6"/>
    </row>
    <row r="605" spans="1:5" x14ac:dyDescent="0.2">
      <c r="A605" s="2">
        <v>591</v>
      </c>
      <c r="B605" s="9"/>
      <c r="C605" s="4"/>
      <c r="D605" s="5"/>
      <c r="E605" s="6"/>
    </row>
    <row r="606" spans="1:5" x14ac:dyDescent="0.2">
      <c r="A606" s="2">
        <v>592</v>
      </c>
      <c r="B606" s="9"/>
      <c r="C606" s="4"/>
      <c r="D606" s="5"/>
      <c r="E606" s="6"/>
    </row>
    <row r="607" spans="1:5" x14ac:dyDescent="0.2">
      <c r="A607" s="2">
        <v>593</v>
      </c>
      <c r="B607" s="9"/>
      <c r="C607" s="4"/>
      <c r="D607" s="5"/>
      <c r="E607" s="6"/>
    </row>
    <row r="608" spans="1:5" x14ac:dyDescent="0.2">
      <c r="A608" s="2">
        <v>594</v>
      </c>
      <c r="B608" s="9"/>
      <c r="C608" s="4"/>
      <c r="D608" s="5"/>
      <c r="E608" s="6"/>
    </row>
    <row r="609" spans="1:5" x14ac:dyDescent="0.2">
      <c r="A609" s="2">
        <v>595</v>
      </c>
      <c r="B609" s="9"/>
      <c r="C609" s="4"/>
      <c r="D609" s="5"/>
      <c r="E609" s="6"/>
    </row>
    <row r="610" spans="1:5" x14ac:dyDescent="0.2">
      <c r="A610" s="2">
        <v>596</v>
      </c>
      <c r="B610" s="9"/>
      <c r="C610" s="4"/>
      <c r="D610" s="5"/>
      <c r="E610" s="6"/>
    </row>
    <row r="611" spans="1:5" x14ac:dyDescent="0.2">
      <c r="A611" s="2">
        <v>597</v>
      </c>
      <c r="B611" s="9"/>
      <c r="C611" s="4"/>
      <c r="D611" s="5"/>
      <c r="E611" s="6"/>
    </row>
    <row r="612" spans="1:5" x14ac:dyDescent="0.2">
      <c r="A612" s="2">
        <v>598</v>
      </c>
      <c r="B612" s="9"/>
      <c r="C612" s="4"/>
      <c r="D612" s="5"/>
      <c r="E612" s="6"/>
    </row>
    <row r="613" spans="1:5" x14ac:dyDescent="0.2">
      <c r="A613" s="2">
        <v>599</v>
      </c>
      <c r="B613" s="9"/>
      <c r="C613" s="4"/>
      <c r="D613" s="5"/>
      <c r="E613" s="6"/>
    </row>
    <row r="614" spans="1:5" x14ac:dyDescent="0.2">
      <c r="B614" s="9"/>
      <c r="C614" s="4"/>
      <c r="D614" s="5"/>
      <c r="E614" s="6"/>
    </row>
    <row r="615" spans="1:5" x14ac:dyDescent="0.2">
      <c r="B615" s="9"/>
      <c r="C615" s="4"/>
      <c r="D615" s="5"/>
      <c r="E615" s="6"/>
    </row>
    <row r="616" spans="1:5" x14ac:dyDescent="0.2">
      <c r="B616" s="9"/>
      <c r="C616" s="4"/>
      <c r="D616" s="5"/>
      <c r="E616" s="6"/>
    </row>
    <row r="617" spans="1:5" x14ac:dyDescent="0.2">
      <c r="B617" s="9"/>
      <c r="C617" s="4"/>
      <c r="D617" s="5"/>
      <c r="E617" s="6"/>
    </row>
    <row r="618" spans="1:5" x14ac:dyDescent="0.2">
      <c r="B618" s="9"/>
      <c r="C618" s="4"/>
      <c r="D618" s="5"/>
      <c r="E618" s="6"/>
    </row>
    <row r="619" spans="1:5" x14ac:dyDescent="0.2">
      <c r="B619" s="9"/>
      <c r="C619" s="4"/>
      <c r="D619" s="5"/>
      <c r="E619" s="6"/>
    </row>
    <row r="620" spans="1:5" x14ac:dyDescent="0.2">
      <c r="B620" s="9"/>
      <c r="C620" s="4"/>
      <c r="D620" s="5"/>
      <c r="E620" s="6"/>
    </row>
    <row r="621" spans="1:5" x14ac:dyDescent="0.2">
      <c r="B621" s="9"/>
      <c r="C621" s="4"/>
      <c r="D621" s="5"/>
      <c r="E621" s="6"/>
    </row>
    <row r="622" spans="1:5" x14ac:dyDescent="0.2">
      <c r="B622" s="9"/>
      <c r="C622" s="4"/>
      <c r="D622" s="5"/>
      <c r="E622" s="6"/>
    </row>
    <row r="623" spans="1:5" x14ac:dyDescent="0.2">
      <c r="B623" s="9"/>
      <c r="C623" s="4"/>
      <c r="D623" s="5"/>
      <c r="E623" s="6"/>
    </row>
    <row r="624" spans="1:5" x14ac:dyDescent="0.2">
      <c r="B624" s="9"/>
      <c r="C624" s="4"/>
      <c r="D624" s="5"/>
      <c r="E624" s="6"/>
    </row>
    <row r="625" spans="2:5" x14ac:dyDescent="0.2">
      <c r="B625" s="9"/>
      <c r="C625" s="4"/>
      <c r="D625" s="5"/>
      <c r="E625" s="6"/>
    </row>
    <row r="626" spans="2:5" x14ac:dyDescent="0.2">
      <c r="B626" s="9"/>
      <c r="C626" s="4"/>
      <c r="D626" s="5"/>
      <c r="E626" s="6"/>
    </row>
    <row r="627" spans="2:5" x14ac:dyDescent="0.2">
      <c r="B627" s="9"/>
      <c r="C627" s="4"/>
      <c r="D627" s="5"/>
      <c r="E627" s="6"/>
    </row>
    <row r="628" spans="2:5" x14ac:dyDescent="0.2">
      <c r="B628" s="9"/>
      <c r="C628" s="4"/>
      <c r="D628" s="5"/>
      <c r="E628" s="6"/>
    </row>
    <row r="629" spans="2:5" x14ac:dyDescent="0.2">
      <c r="B629" s="9"/>
      <c r="C629" s="4"/>
      <c r="D629" s="5"/>
      <c r="E629" s="6"/>
    </row>
    <row r="630" spans="2:5" x14ac:dyDescent="0.2">
      <c r="B630" s="9"/>
      <c r="C630" s="4"/>
      <c r="D630" s="5"/>
      <c r="E630" s="6"/>
    </row>
    <row r="631" spans="2:5" x14ac:dyDescent="0.2">
      <c r="B631" s="9"/>
      <c r="C631" s="4"/>
      <c r="D631" s="5"/>
      <c r="E631" s="6"/>
    </row>
    <row r="632" spans="2:5" x14ac:dyDescent="0.2">
      <c r="B632" s="9"/>
      <c r="C632" s="4"/>
      <c r="D632" s="5"/>
      <c r="E632" s="6"/>
    </row>
    <row r="633" spans="2:5" x14ac:dyDescent="0.2">
      <c r="B633" s="9"/>
      <c r="C633" s="4"/>
      <c r="D633" s="5"/>
      <c r="E633" s="6"/>
    </row>
    <row r="634" spans="2:5" x14ac:dyDescent="0.2">
      <c r="B634" s="9"/>
      <c r="C634" s="4"/>
      <c r="D634" s="5"/>
      <c r="E634" s="6"/>
    </row>
    <row r="635" spans="2:5" x14ac:dyDescent="0.2">
      <c r="B635" s="9"/>
      <c r="C635" s="4"/>
      <c r="D635" s="5"/>
      <c r="E635" s="6"/>
    </row>
    <row r="636" spans="2:5" x14ac:dyDescent="0.2">
      <c r="B636" s="9"/>
      <c r="C636" s="4"/>
      <c r="D636" s="5"/>
      <c r="E636" s="6"/>
    </row>
    <row r="637" spans="2:5" x14ac:dyDescent="0.2">
      <c r="B637" s="9"/>
      <c r="C637" s="4"/>
      <c r="D637" s="5"/>
      <c r="E637" s="6"/>
    </row>
    <row r="638" spans="2:5" x14ac:dyDescent="0.2">
      <c r="B638" s="9"/>
      <c r="C638" s="4"/>
      <c r="D638" s="5"/>
      <c r="E638" s="6"/>
    </row>
    <row r="639" spans="2:5" x14ac:dyDescent="0.2">
      <c r="B639" s="9"/>
      <c r="C639" s="4"/>
      <c r="D639" s="5"/>
      <c r="E639" s="6"/>
    </row>
    <row r="640" spans="2:5" x14ac:dyDescent="0.2">
      <c r="B640" s="9"/>
      <c r="C640" s="4"/>
      <c r="D640" s="5"/>
      <c r="E640" s="6"/>
    </row>
    <row r="641" spans="2:5" x14ac:dyDescent="0.2">
      <c r="B641" s="9"/>
      <c r="C641" s="4"/>
      <c r="D641" s="5"/>
      <c r="E641" s="6"/>
    </row>
    <row r="642" spans="2:5" x14ac:dyDescent="0.2">
      <c r="B642" s="9"/>
      <c r="C642" s="4"/>
      <c r="D642" s="5"/>
      <c r="E642" s="6"/>
    </row>
    <row r="643" spans="2:5" x14ac:dyDescent="0.2">
      <c r="B643" s="9"/>
      <c r="C643" s="4"/>
      <c r="D643" s="5"/>
      <c r="E643" s="6"/>
    </row>
    <row r="644" spans="2:5" x14ac:dyDescent="0.2">
      <c r="B644" s="9"/>
      <c r="C644" s="4"/>
      <c r="D644" s="5"/>
      <c r="E644" s="6"/>
    </row>
    <row r="645" spans="2:5" x14ac:dyDescent="0.2">
      <c r="B645" s="9"/>
      <c r="C645" s="4"/>
      <c r="D645" s="5"/>
      <c r="E645" s="6"/>
    </row>
    <row r="646" spans="2:5" x14ac:dyDescent="0.2">
      <c r="B646" s="9"/>
      <c r="C646" s="4"/>
      <c r="D646" s="5"/>
      <c r="E646" s="6"/>
    </row>
    <row r="647" spans="2:5" x14ac:dyDescent="0.2">
      <c r="B647" s="9"/>
      <c r="C647" s="4"/>
      <c r="D647" s="5"/>
      <c r="E647" s="6"/>
    </row>
    <row r="648" spans="2:5" x14ac:dyDescent="0.2">
      <c r="B648" s="9"/>
      <c r="C648" s="4"/>
      <c r="D648" s="5"/>
      <c r="E648" s="6"/>
    </row>
    <row r="649" spans="2:5" x14ac:dyDescent="0.2">
      <c r="B649" s="9"/>
      <c r="C649" s="4"/>
      <c r="D649" s="5"/>
      <c r="E649" s="6"/>
    </row>
    <row r="650" spans="2:5" x14ac:dyDescent="0.2">
      <c r="B650" s="9"/>
      <c r="C650" s="4"/>
      <c r="D650" s="5"/>
      <c r="E650" s="6"/>
    </row>
    <row r="651" spans="2:5" x14ac:dyDescent="0.2">
      <c r="B651" s="9"/>
      <c r="C651" s="4"/>
      <c r="D651" s="5"/>
      <c r="E651" s="6"/>
    </row>
    <row r="652" spans="2:5" x14ac:dyDescent="0.2">
      <c r="B652" s="9"/>
      <c r="C652" s="4"/>
      <c r="D652" s="5"/>
      <c r="E652" s="6"/>
    </row>
    <row r="653" spans="2:5" x14ac:dyDescent="0.2">
      <c r="B653" s="9"/>
      <c r="C653" s="4"/>
      <c r="D653" s="5"/>
      <c r="E653" s="6"/>
    </row>
    <row r="654" spans="2:5" x14ac:dyDescent="0.2">
      <c r="B654" s="9"/>
      <c r="C654" s="4"/>
      <c r="D654" s="5"/>
      <c r="E654" s="6"/>
    </row>
    <row r="655" spans="2:5" x14ac:dyDescent="0.2">
      <c r="B655" s="9"/>
      <c r="C655" s="4"/>
      <c r="D655" s="5"/>
      <c r="E655" s="6"/>
    </row>
    <row r="656" spans="2:5" x14ac:dyDescent="0.2">
      <c r="B656" s="9"/>
      <c r="C656" s="4"/>
      <c r="D656" s="5"/>
      <c r="E656" s="6"/>
    </row>
    <row r="657" spans="2:5" x14ac:dyDescent="0.2">
      <c r="B657" s="9"/>
      <c r="C657" s="4"/>
      <c r="D657" s="5"/>
      <c r="E657" s="6"/>
    </row>
    <row r="658" spans="2:5" x14ac:dyDescent="0.2">
      <c r="B658" s="9"/>
      <c r="C658" s="4"/>
      <c r="D658" s="5"/>
      <c r="E658" s="6"/>
    </row>
    <row r="659" spans="2:5" x14ac:dyDescent="0.2">
      <c r="B659" s="9"/>
      <c r="C659" s="4"/>
      <c r="D659" s="5"/>
      <c r="E659" s="6"/>
    </row>
    <row r="660" spans="2:5" x14ac:dyDescent="0.2">
      <c r="B660" s="9"/>
      <c r="C660" s="4"/>
      <c r="D660" s="5"/>
      <c r="E660" s="6"/>
    </row>
    <row r="661" spans="2:5" x14ac:dyDescent="0.2">
      <c r="B661" s="9"/>
      <c r="C661" s="4"/>
      <c r="D661" s="5"/>
      <c r="E661" s="6"/>
    </row>
    <row r="662" spans="2:5" x14ac:dyDescent="0.2">
      <c r="B662" s="9"/>
      <c r="C662" s="4"/>
      <c r="D662" s="5"/>
      <c r="E662" s="6"/>
    </row>
    <row r="663" spans="2:5" x14ac:dyDescent="0.2">
      <c r="B663" s="9"/>
      <c r="C663" s="4"/>
      <c r="D663" s="5"/>
      <c r="E663" s="6"/>
    </row>
    <row r="664" spans="2:5" x14ac:dyDescent="0.2">
      <c r="B664" s="9"/>
      <c r="C664" s="4"/>
      <c r="D664" s="5"/>
      <c r="E664" s="6"/>
    </row>
    <row r="665" spans="2:5" x14ac:dyDescent="0.2">
      <c r="B665" s="9"/>
      <c r="C665" s="4"/>
      <c r="D665" s="5"/>
      <c r="E665" s="6"/>
    </row>
    <row r="666" spans="2:5" x14ac:dyDescent="0.2">
      <c r="B666" s="9"/>
      <c r="C666" s="4"/>
      <c r="D666" s="5"/>
      <c r="E666" s="6"/>
    </row>
    <row r="667" spans="2:5" x14ac:dyDescent="0.2">
      <c r="B667" s="9"/>
      <c r="C667" s="4"/>
      <c r="D667" s="5"/>
      <c r="E667" s="6"/>
    </row>
    <row r="668" spans="2:5" x14ac:dyDescent="0.2">
      <c r="B668" s="9"/>
      <c r="C668" s="4"/>
      <c r="D668" s="5"/>
      <c r="E668" s="6"/>
    </row>
    <row r="669" spans="2:5" x14ac:dyDescent="0.2">
      <c r="B669" s="9"/>
      <c r="C669" s="4"/>
      <c r="D669" s="5"/>
      <c r="E669" s="6"/>
    </row>
    <row r="670" spans="2:5" x14ac:dyDescent="0.2">
      <c r="B670" s="9"/>
      <c r="C670" s="4"/>
      <c r="D670" s="5"/>
      <c r="E670" s="6"/>
    </row>
    <row r="671" spans="2:5" x14ac:dyDescent="0.2">
      <c r="B671" s="9"/>
      <c r="C671" s="4"/>
      <c r="D671" s="5"/>
      <c r="E671" s="6"/>
    </row>
    <row r="672" spans="2:5" x14ac:dyDescent="0.2">
      <c r="B672" s="9"/>
      <c r="C672" s="4"/>
      <c r="D672" s="5"/>
      <c r="E672" s="6"/>
    </row>
    <row r="673" spans="2:5" x14ac:dyDescent="0.2">
      <c r="B673" s="9"/>
      <c r="C673" s="4"/>
      <c r="D673" s="5"/>
      <c r="E673" s="6"/>
    </row>
    <row r="674" spans="2:5" x14ac:dyDescent="0.2">
      <c r="B674" s="9"/>
      <c r="C674" s="4"/>
      <c r="D674" s="5"/>
      <c r="E674" s="6"/>
    </row>
    <row r="675" spans="2:5" x14ac:dyDescent="0.2">
      <c r="B675" s="9"/>
      <c r="C675" s="4"/>
      <c r="D675" s="5"/>
      <c r="E675" s="6"/>
    </row>
    <row r="676" spans="2:5" x14ac:dyDescent="0.2">
      <c r="B676" s="9"/>
      <c r="C676" s="4"/>
      <c r="D676" s="5"/>
      <c r="E676" s="6"/>
    </row>
    <row r="677" spans="2:5" x14ac:dyDescent="0.2">
      <c r="B677" s="9"/>
      <c r="C677" s="4"/>
      <c r="D677" s="5"/>
      <c r="E677" s="6"/>
    </row>
    <row r="678" spans="2:5" x14ac:dyDescent="0.2">
      <c r="B678" s="9"/>
      <c r="C678" s="4"/>
      <c r="D678" s="5"/>
      <c r="E678" s="6"/>
    </row>
    <row r="679" spans="2:5" x14ac:dyDescent="0.2">
      <c r="B679" s="9"/>
      <c r="C679" s="4"/>
      <c r="D679" s="5"/>
      <c r="E679" s="6"/>
    </row>
    <row r="680" spans="2:5" x14ac:dyDescent="0.2">
      <c r="B680" s="9"/>
      <c r="C680" s="4"/>
      <c r="D680" s="5"/>
      <c r="E680" s="6"/>
    </row>
    <row r="681" spans="2:5" x14ac:dyDescent="0.2">
      <c r="B681" s="9"/>
      <c r="C681" s="4"/>
      <c r="D681" s="5"/>
      <c r="E681" s="6"/>
    </row>
    <row r="682" spans="2:5" x14ac:dyDescent="0.2">
      <c r="B682" s="9"/>
      <c r="C682" s="4"/>
      <c r="D682" s="5"/>
      <c r="E682" s="6"/>
    </row>
    <row r="683" spans="2:5" x14ac:dyDescent="0.2">
      <c r="B683" s="9"/>
      <c r="C683" s="4"/>
      <c r="D683" s="5"/>
      <c r="E683" s="6"/>
    </row>
    <row r="684" spans="2:5" x14ac:dyDescent="0.2">
      <c r="B684" s="9"/>
      <c r="C684" s="4"/>
      <c r="D684" s="5"/>
      <c r="E684" s="6"/>
    </row>
    <row r="685" spans="2:5" x14ac:dyDescent="0.2">
      <c r="B685" s="9"/>
      <c r="C685" s="4"/>
      <c r="D685" s="5"/>
      <c r="E685" s="6"/>
    </row>
    <row r="686" spans="2:5" x14ac:dyDescent="0.2">
      <c r="B686" s="9"/>
      <c r="C686" s="4"/>
      <c r="D686" s="5"/>
      <c r="E686" s="6"/>
    </row>
    <row r="687" spans="2:5" x14ac:dyDescent="0.2">
      <c r="B687" s="9"/>
      <c r="C687" s="4"/>
      <c r="D687" s="5"/>
      <c r="E687" s="6"/>
    </row>
    <row r="688" spans="2:5" x14ac:dyDescent="0.2">
      <c r="B688" s="9"/>
      <c r="C688" s="4"/>
      <c r="D688" s="5"/>
      <c r="E688" s="6"/>
    </row>
    <row r="689" spans="2:5" x14ac:dyDescent="0.2">
      <c r="B689" s="9"/>
      <c r="C689" s="4"/>
      <c r="D689" s="5"/>
      <c r="E689" s="6"/>
    </row>
    <row r="690" spans="2:5" x14ac:dyDescent="0.2">
      <c r="B690" s="9"/>
      <c r="C690" s="4"/>
      <c r="D690" s="5"/>
      <c r="E690" s="6"/>
    </row>
    <row r="691" spans="2:5" x14ac:dyDescent="0.2">
      <c r="B691" s="9"/>
      <c r="C691" s="4"/>
      <c r="D691" s="5"/>
      <c r="E691" s="6"/>
    </row>
    <row r="692" spans="2:5" x14ac:dyDescent="0.2">
      <c r="B692" s="9"/>
      <c r="C692" s="4"/>
      <c r="D692" s="5"/>
      <c r="E692" s="6"/>
    </row>
    <row r="693" spans="2:5" x14ac:dyDescent="0.2">
      <c r="B693" s="9"/>
      <c r="C693" s="4"/>
      <c r="D693" s="5"/>
      <c r="E693" s="6"/>
    </row>
    <row r="694" spans="2:5" x14ac:dyDescent="0.2">
      <c r="B694" s="9"/>
      <c r="C694" s="4"/>
      <c r="D694" s="5"/>
      <c r="E694" s="6"/>
    </row>
    <row r="695" spans="2:5" x14ac:dyDescent="0.2">
      <c r="B695" s="9"/>
      <c r="C695" s="4"/>
      <c r="D695" s="5"/>
      <c r="E695" s="6"/>
    </row>
    <row r="696" spans="2:5" x14ac:dyDescent="0.2">
      <c r="B696" s="9"/>
      <c r="C696" s="4"/>
      <c r="D696" s="5"/>
      <c r="E696" s="6"/>
    </row>
    <row r="697" spans="2:5" x14ac:dyDescent="0.2">
      <c r="B697" s="9"/>
      <c r="C697" s="4"/>
      <c r="D697" s="5"/>
      <c r="E697" s="6"/>
    </row>
    <row r="698" spans="2:5" x14ac:dyDescent="0.2">
      <c r="B698" s="9"/>
      <c r="C698" s="4"/>
      <c r="D698" s="5"/>
      <c r="E698" s="6"/>
    </row>
    <row r="699" spans="2:5" x14ac:dyDescent="0.2">
      <c r="B699" s="9"/>
      <c r="C699" s="4"/>
      <c r="D699" s="5"/>
      <c r="E699" s="6"/>
    </row>
    <row r="700" spans="2:5" x14ac:dyDescent="0.2">
      <c r="B700" s="9"/>
      <c r="C700" s="4"/>
      <c r="D700" s="5"/>
      <c r="E700" s="6"/>
    </row>
    <row r="701" spans="2:5" x14ac:dyDescent="0.2">
      <c r="B701" s="9"/>
      <c r="C701" s="4"/>
      <c r="D701" s="5"/>
      <c r="E701" s="6"/>
    </row>
    <row r="702" spans="2:5" x14ac:dyDescent="0.2">
      <c r="B702" s="9"/>
      <c r="C702" s="4"/>
      <c r="D702" s="5"/>
      <c r="E702" s="6"/>
    </row>
    <row r="703" spans="2:5" x14ac:dyDescent="0.2">
      <c r="B703" s="9"/>
      <c r="C703" s="4"/>
      <c r="D703" s="5"/>
      <c r="E703" s="6"/>
    </row>
    <row r="704" spans="2:5" x14ac:dyDescent="0.2">
      <c r="B704" s="9"/>
      <c r="C704" s="4"/>
      <c r="D704" s="5"/>
      <c r="E704" s="6"/>
    </row>
    <row r="705" spans="2:5" x14ac:dyDescent="0.2">
      <c r="B705" s="9"/>
      <c r="C705" s="4"/>
      <c r="D705" s="5"/>
      <c r="E705" s="6"/>
    </row>
    <row r="706" spans="2:5" x14ac:dyDescent="0.2">
      <c r="B706" s="9"/>
      <c r="C706" s="4"/>
      <c r="D706" s="5"/>
      <c r="E706" s="6"/>
    </row>
    <row r="707" spans="2:5" x14ac:dyDescent="0.2">
      <c r="B707" s="9"/>
      <c r="C707" s="4"/>
      <c r="D707" s="5"/>
      <c r="E707" s="6"/>
    </row>
    <row r="708" spans="2:5" x14ac:dyDescent="0.2">
      <c r="B708" s="9"/>
      <c r="C708" s="4"/>
      <c r="D708" s="5"/>
      <c r="E708" s="6"/>
    </row>
    <row r="709" spans="2:5" x14ac:dyDescent="0.2">
      <c r="B709" s="9"/>
      <c r="C709" s="4"/>
      <c r="D709" s="5"/>
      <c r="E709" s="6"/>
    </row>
    <row r="710" spans="2:5" x14ac:dyDescent="0.2">
      <c r="B710" s="9"/>
      <c r="C710" s="4"/>
      <c r="D710" s="5"/>
      <c r="E710" s="6"/>
    </row>
    <row r="711" spans="2:5" x14ac:dyDescent="0.2">
      <c r="B711" s="9"/>
      <c r="C711" s="4"/>
      <c r="D711" s="5"/>
      <c r="E711" s="6"/>
    </row>
    <row r="712" spans="2:5" x14ac:dyDescent="0.2">
      <c r="B712" s="9"/>
      <c r="C712" s="4"/>
      <c r="D712" s="5"/>
      <c r="E712" s="6"/>
    </row>
    <row r="713" spans="2:5" x14ac:dyDescent="0.2">
      <c r="B713" s="9"/>
      <c r="C713" s="4"/>
      <c r="D713" s="5"/>
      <c r="E713" s="6"/>
    </row>
    <row r="714" spans="2:5" x14ac:dyDescent="0.2">
      <c r="B714" s="9"/>
      <c r="C714" s="4"/>
      <c r="D714" s="5"/>
      <c r="E714" s="6"/>
    </row>
    <row r="715" spans="2:5" x14ac:dyDescent="0.2">
      <c r="B715" s="9"/>
      <c r="C715" s="4"/>
      <c r="D715" s="5"/>
      <c r="E715" s="6"/>
    </row>
    <row r="716" spans="2:5" x14ac:dyDescent="0.2">
      <c r="B716" s="9"/>
      <c r="C716" s="4"/>
      <c r="D716" s="5"/>
      <c r="E716" s="6"/>
    </row>
    <row r="717" spans="2:5" x14ac:dyDescent="0.2">
      <c r="B717" s="9"/>
      <c r="C717" s="4"/>
      <c r="D717" s="5"/>
      <c r="E717" s="6"/>
    </row>
    <row r="718" spans="2:5" x14ac:dyDescent="0.2">
      <c r="B718" s="9"/>
      <c r="C718" s="4"/>
      <c r="D718" s="5"/>
      <c r="E718" s="6"/>
    </row>
    <row r="719" spans="2:5" x14ac:dyDescent="0.2">
      <c r="B719" s="9"/>
      <c r="C719" s="4"/>
      <c r="D719" s="5"/>
      <c r="E719" s="6"/>
    </row>
    <row r="720" spans="2:5" x14ac:dyDescent="0.2">
      <c r="B720" s="9"/>
      <c r="C720" s="4"/>
      <c r="D720" s="5"/>
      <c r="E720" s="6"/>
    </row>
    <row r="721" spans="2:5" x14ac:dyDescent="0.2">
      <c r="B721" s="9"/>
      <c r="C721" s="4"/>
      <c r="D721" s="5"/>
      <c r="E721" s="6"/>
    </row>
    <row r="722" spans="2:5" x14ac:dyDescent="0.2">
      <c r="B722" s="9"/>
      <c r="C722" s="4"/>
      <c r="D722" s="5"/>
      <c r="E722" s="6"/>
    </row>
    <row r="723" spans="2:5" x14ac:dyDescent="0.2">
      <c r="B723" s="9"/>
      <c r="C723" s="4"/>
      <c r="D723" s="5"/>
      <c r="E723" s="6"/>
    </row>
    <row r="724" spans="2:5" x14ac:dyDescent="0.2">
      <c r="B724" s="9"/>
      <c r="C724" s="4"/>
      <c r="D724" s="5"/>
      <c r="E724" s="6"/>
    </row>
    <row r="725" spans="2:5" x14ac:dyDescent="0.2">
      <c r="B725" s="9"/>
      <c r="C725" s="4"/>
      <c r="D725" s="5"/>
      <c r="E725" s="6"/>
    </row>
    <row r="726" spans="2:5" x14ac:dyDescent="0.2">
      <c r="B726" s="9"/>
      <c r="C726" s="4"/>
      <c r="D726" s="5"/>
      <c r="E726" s="6"/>
    </row>
    <row r="727" spans="2:5" x14ac:dyDescent="0.2">
      <c r="B727" s="9"/>
      <c r="C727" s="4"/>
      <c r="D727" s="5"/>
      <c r="E727" s="6"/>
    </row>
    <row r="728" spans="2:5" x14ac:dyDescent="0.2">
      <c r="B728" s="9"/>
      <c r="C728" s="4"/>
      <c r="D728" s="5"/>
      <c r="E728" s="6"/>
    </row>
    <row r="729" spans="2:5" x14ac:dyDescent="0.2">
      <c r="B729" s="9"/>
      <c r="C729" s="4"/>
      <c r="D729" s="5"/>
      <c r="E729" s="6"/>
    </row>
    <row r="730" spans="2:5" x14ac:dyDescent="0.2">
      <c r="B730" s="9"/>
      <c r="C730" s="4"/>
      <c r="D730" s="5"/>
      <c r="E730" s="6"/>
    </row>
    <row r="731" spans="2:5" x14ac:dyDescent="0.2">
      <c r="B731" s="9"/>
      <c r="C731" s="4"/>
      <c r="D731" s="5"/>
      <c r="E731" s="6"/>
    </row>
    <row r="732" spans="2:5" x14ac:dyDescent="0.2">
      <c r="B732" s="9"/>
      <c r="C732" s="4"/>
      <c r="D732" s="5"/>
      <c r="E732" s="6"/>
    </row>
    <row r="733" spans="2:5" x14ac:dyDescent="0.2">
      <c r="B733" s="9"/>
      <c r="C733" s="4"/>
      <c r="D733" s="5"/>
      <c r="E733" s="6"/>
    </row>
    <row r="734" spans="2:5" x14ac:dyDescent="0.2">
      <c r="B734" s="9"/>
      <c r="C734" s="4"/>
      <c r="D734" s="5"/>
      <c r="E734" s="6"/>
    </row>
    <row r="735" spans="2:5" x14ac:dyDescent="0.2">
      <c r="B735" s="9"/>
      <c r="C735" s="4"/>
      <c r="D735" s="5"/>
      <c r="E735" s="6"/>
    </row>
    <row r="736" spans="2:5" x14ac:dyDescent="0.2">
      <c r="B736" s="9"/>
      <c r="C736" s="4"/>
      <c r="D736" s="5"/>
      <c r="E736" s="6"/>
    </row>
    <row r="737" spans="2:5" x14ac:dyDescent="0.2">
      <c r="B737" s="9"/>
      <c r="C737" s="4"/>
      <c r="D737" s="5"/>
      <c r="E737" s="6"/>
    </row>
    <row r="738" spans="2:5" x14ac:dyDescent="0.2">
      <c r="B738" s="9"/>
      <c r="C738" s="4"/>
      <c r="D738" s="5"/>
      <c r="E738" s="6"/>
    </row>
    <row r="739" spans="2:5" x14ac:dyDescent="0.2">
      <c r="B739" s="9"/>
      <c r="C739" s="4"/>
      <c r="D739" s="5"/>
      <c r="E739" s="6"/>
    </row>
    <row r="740" spans="2:5" x14ac:dyDescent="0.2">
      <c r="B740" s="9"/>
      <c r="C740" s="4"/>
      <c r="D740" s="5"/>
      <c r="E740" s="6"/>
    </row>
    <row r="741" spans="2:5" x14ac:dyDescent="0.2">
      <c r="B741" s="9"/>
      <c r="C741" s="4"/>
      <c r="D741" s="5"/>
      <c r="E741" s="6"/>
    </row>
    <row r="742" spans="2:5" x14ac:dyDescent="0.2">
      <c r="B742" s="9"/>
      <c r="C742" s="4"/>
      <c r="D742" s="5"/>
      <c r="E742" s="6"/>
    </row>
    <row r="743" spans="2:5" x14ac:dyDescent="0.2">
      <c r="B743" s="9"/>
      <c r="C743" s="4"/>
      <c r="D743" s="5"/>
      <c r="E743" s="6"/>
    </row>
    <row r="744" spans="2:5" x14ac:dyDescent="0.2">
      <c r="B744" s="9"/>
      <c r="C744" s="4"/>
      <c r="D744" s="5"/>
      <c r="E744" s="6"/>
    </row>
    <row r="745" spans="2:5" x14ac:dyDescent="0.2">
      <c r="B745" s="9"/>
      <c r="C745" s="4"/>
      <c r="D745" s="5"/>
      <c r="E745" s="6"/>
    </row>
    <row r="746" spans="2:5" x14ac:dyDescent="0.2">
      <c r="B746" s="9"/>
      <c r="C746" s="4"/>
      <c r="D746" s="5"/>
      <c r="E746" s="6"/>
    </row>
    <row r="747" spans="2:5" x14ac:dyDescent="0.2">
      <c r="B747" s="9"/>
      <c r="C747" s="4"/>
      <c r="D747" s="5"/>
      <c r="E747" s="6"/>
    </row>
    <row r="748" spans="2:5" x14ac:dyDescent="0.2">
      <c r="B748" s="9"/>
      <c r="C748" s="4"/>
      <c r="D748" s="5"/>
      <c r="E748" s="6"/>
    </row>
    <row r="749" spans="2:5" x14ac:dyDescent="0.2">
      <c r="B749" s="9"/>
      <c r="C749" s="4"/>
      <c r="D749" s="5"/>
      <c r="E749" s="6"/>
    </row>
    <row r="750" spans="2:5" x14ac:dyDescent="0.2">
      <c r="B750" s="9"/>
      <c r="C750" s="4"/>
      <c r="D750" s="5"/>
      <c r="E750" s="6"/>
    </row>
    <row r="751" spans="2:5" x14ac:dyDescent="0.2">
      <c r="B751" s="9"/>
      <c r="C751" s="4"/>
      <c r="D751" s="5"/>
      <c r="E751" s="6"/>
    </row>
    <row r="752" spans="2:5" x14ac:dyDescent="0.2">
      <c r="B752" s="9"/>
      <c r="C752" s="4"/>
      <c r="D752" s="5"/>
      <c r="E752" s="6"/>
    </row>
    <row r="753" spans="2:5" x14ac:dyDescent="0.2">
      <c r="B753" s="9"/>
      <c r="C753" s="4"/>
      <c r="D753" s="5"/>
      <c r="E753" s="6"/>
    </row>
    <row r="754" spans="2:5" x14ac:dyDescent="0.2">
      <c r="B754" s="9"/>
      <c r="C754" s="4"/>
      <c r="D754" s="5"/>
      <c r="E754" s="6"/>
    </row>
    <row r="755" spans="2:5" x14ac:dyDescent="0.2">
      <c r="B755" s="9"/>
      <c r="C755" s="4"/>
      <c r="D755" s="5"/>
      <c r="E755" s="6"/>
    </row>
    <row r="756" spans="2:5" x14ac:dyDescent="0.2">
      <c r="B756" s="9"/>
      <c r="C756" s="4"/>
      <c r="D756" s="5"/>
      <c r="E756" s="6"/>
    </row>
    <row r="757" spans="2:5" x14ac:dyDescent="0.2">
      <c r="B757" s="9"/>
      <c r="C757" s="4"/>
      <c r="D757" s="5"/>
      <c r="E757" s="6"/>
    </row>
    <row r="758" spans="2:5" x14ac:dyDescent="0.2">
      <c r="B758" s="9"/>
      <c r="C758" s="4"/>
      <c r="D758" s="5"/>
      <c r="E758" s="6"/>
    </row>
    <row r="759" spans="2:5" x14ac:dyDescent="0.2">
      <c r="B759" s="9"/>
      <c r="C759" s="4"/>
      <c r="D759" s="5"/>
      <c r="E759" s="6"/>
    </row>
    <row r="760" spans="2:5" x14ac:dyDescent="0.2">
      <c r="B760" s="9"/>
      <c r="C760" s="4"/>
      <c r="D760" s="5"/>
      <c r="E760" s="6"/>
    </row>
    <row r="761" spans="2:5" x14ac:dyDescent="0.2">
      <c r="B761" s="9"/>
      <c r="C761" s="4"/>
      <c r="D761" s="5"/>
      <c r="E761" s="6"/>
    </row>
    <row r="762" spans="2:5" x14ac:dyDescent="0.2">
      <c r="B762" s="9"/>
      <c r="C762" s="4"/>
      <c r="D762" s="5"/>
      <c r="E762" s="6"/>
    </row>
    <row r="763" spans="2:5" x14ac:dyDescent="0.2">
      <c r="B763" s="9"/>
      <c r="C763" s="4"/>
      <c r="D763" s="5"/>
      <c r="E763" s="6"/>
    </row>
    <row r="764" spans="2:5" x14ac:dyDescent="0.2">
      <c r="B764" s="9"/>
      <c r="C764" s="4"/>
      <c r="D764" s="5"/>
      <c r="E764" s="6"/>
    </row>
    <row r="765" spans="2:5" x14ac:dyDescent="0.2">
      <c r="B765" s="9"/>
      <c r="C765" s="4"/>
      <c r="D765" s="5"/>
      <c r="E765" s="6"/>
    </row>
    <row r="766" spans="2:5" x14ac:dyDescent="0.2">
      <c r="B766" s="9"/>
      <c r="C766" s="4"/>
      <c r="D766" s="5"/>
      <c r="E766" s="6"/>
    </row>
    <row r="767" spans="2:5" x14ac:dyDescent="0.2">
      <c r="B767" s="9"/>
      <c r="C767" s="4"/>
      <c r="D767" s="5"/>
      <c r="E767" s="6"/>
    </row>
    <row r="768" spans="2:5" x14ac:dyDescent="0.2">
      <c r="B768" s="9"/>
      <c r="C768" s="4"/>
      <c r="D768" s="5"/>
      <c r="E768" s="6"/>
    </row>
    <row r="769" spans="2:5" x14ac:dyDescent="0.2">
      <c r="B769" s="9"/>
      <c r="C769" s="4"/>
      <c r="D769" s="5"/>
      <c r="E769" s="6"/>
    </row>
    <row r="770" spans="2:5" x14ac:dyDescent="0.2">
      <c r="B770" s="9"/>
      <c r="C770" s="4"/>
      <c r="D770" s="5"/>
      <c r="E770" s="6"/>
    </row>
    <row r="771" spans="2:5" x14ac:dyDescent="0.2">
      <c r="B771" s="9"/>
      <c r="C771" s="4"/>
      <c r="D771" s="5"/>
      <c r="E771" s="6"/>
    </row>
    <row r="772" spans="2:5" x14ac:dyDescent="0.2">
      <c r="B772" s="9"/>
      <c r="C772" s="4"/>
      <c r="D772" s="5"/>
      <c r="E772" s="6"/>
    </row>
    <row r="773" spans="2:5" x14ac:dyDescent="0.2">
      <c r="B773" s="9"/>
      <c r="C773" s="4"/>
      <c r="D773" s="5"/>
      <c r="E773" s="6"/>
    </row>
    <row r="774" spans="2:5" x14ac:dyDescent="0.2">
      <c r="B774" s="9"/>
      <c r="C774" s="4"/>
      <c r="D774" s="5"/>
      <c r="E774" s="6"/>
    </row>
    <row r="775" spans="2:5" x14ac:dyDescent="0.2">
      <c r="B775" s="9"/>
      <c r="C775" s="4"/>
      <c r="D775" s="5"/>
      <c r="E775" s="6"/>
    </row>
    <row r="776" spans="2:5" x14ac:dyDescent="0.2">
      <c r="B776" s="9"/>
      <c r="C776" s="4"/>
      <c r="D776" s="5"/>
      <c r="E776" s="6"/>
    </row>
    <row r="777" spans="2:5" x14ac:dyDescent="0.2">
      <c r="B777" s="9"/>
      <c r="C777" s="4"/>
      <c r="D777" s="5"/>
      <c r="E777" s="6"/>
    </row>
    <row r="778" spans="2:5" x14ac:dyDescent="0.2">
      <c r="B778" s="9"/>
      <c r="C778" s="4"/>
      <c r="D778" s="5"/>
      <c r="E778" s="6"/>
    </row>
    <row r="779" spans="2:5" x14ac:dyDescent="0.2">
      <c r="B779" s="9"/>
      <c r="C779" s="4"/>
      <c r="D779" s="5"/>
      <c r="E779" s="6"/>
    </row>
    <row r="780" spans="2:5" x14ac:dyDescent="0.2">
      <c r="B780" s="9"/>
      <c r="C780" s="4"/>
      <c r="D780" s="5"/>
      <c r="E780" s="6"/>
    </row>
    <row r="781" spans="2:5" x14ac:dyDescent="0.2">
      <c r="B781" s="9"/>
      <c r="C781" s="4"/>
      <c r="D781" s="5"/>
      <c r="E781" s="6"/>
    </row>
    <row r="782" spans="2:5" x14ac:dyDescent="0.2">
      <c r="B782" s="9"/>
      <c r="C782" s="4"/>
      <c r="D782" s="5"/>
      <c r="E782" s="6"/>
    </row>
    <row r="783" spans="2:5" x14ac:dyDescent="0.2">
      <c r="B783" s="9"/>
      <c r="C783" s="4"/>
      <c r="D783" s="5"/>
      <c r="E783" s="6"/>
    </row>
    <row r="784" spans="2:5" x14ac:dyDescent="0.2">
      <c r="B784" s="9"/>
      <c r="C784" s="4"/>
      <c r="D784" s="5"/>
      <c r="E784" s="6"/>
    </row>
    <row r="785" spans="2:5" x14ac:dyDescent="0.2">
      <c r="B785" s="9"/>
      <c r="C785" s="4"/>
      <c r="D785" s="5"/>
      <c r="E785" s="6"/>
    </row>
    <row r="786" spans="2:5" x14ac:dyDescent="0.2">
      <c r="B786" s="9"/>
      <c r="C786" s="4"/>
      <c r="D786" s="5"/>
      <c r="E786" s="6"/>
    </row>
    <row r="787" spans="2:5" x14ac:dyDescent="0.2">
      <c r="B787" s="9"/>
      <c r="C787" s="4"/>
      <c r="D787" s="5"/>
      <c r="E787" s="6"/>
    </row>
    <row r="788" spans="2:5" x14ac:dyDescent="0.2">
      <c r="B788" s="9"/>
      <c r="C788" s="4"/>
      <c r="D788" s="5"/>
      <c r="E788" s="6"/>
    </row>
    <row r="789" spans="2:5" x14ac:dyDescent="0.2">
      <c r="B789" s="9"/>
      <c r="C789" s="4"/>
      <c r="D789" s="5"/>
      <c r="E789" s="6"/>
    </row>
    <row r="790" spans="2:5" x14ac:dyDescent="0.2">
      <c r="B790" s="9"/>
      <c r="C790" s="4"/>
      <c r="D790" s="5"/>
      <c r="E790" s="6"/>
    </row>
    <row r="791" spans="2:5" x14ac:dyDescent="0.2">
      <c r="B791" s="9"/>
      <c r="C791" s="4"/>
      <c r="D791" s="5"/>
      <c r="E791" s="6"/>
    </row>
    <row r="792" spans="2:5" x14ac:dyDescent="0.2">
      <c r="B792" s="9"/>
      <c r="C792" s="4"/>
      <c r="D792" s="5"/>
      <c r="E792" s="6"/>
    </row>
    <row r="793" spans="2:5" x14ac:dyDescent="0.2">
      <c r="B793" s="9"/>
      <c r="C793" s="4"/>
      <c r="D793" s="5"/>
      <c r="E793" s="6"/>
    </row>
    <row r="794" spans="2:5" x14ac:dyDescent="0.2">
      <c r="B794" s="9"/>
      <c r="C794" s="4"/>
      <c r="D794" s="5"/>
      <c r="E794" s="6"/>
    </row>
    <row r="795" spans="2:5" x14ac:dyDescent="0.2">
      <c r="B795" s="9"/>
      <c r="C795" s="4"/>
      <c r="D795" s="5"/>
      <c r="E795" s="6"/>
    </row>
    <row r="796" spans="2:5" x14ac:dyDescent="0.2">
      <c r="B796" s="9"/>
      <c r="C796" s="4"/>
      <c r="D796" s="5"/>
      <c r="E796" s="6"/>
    </row>
    <row r="797" spans="2:5" x14ac:dyDescent="0.2">
      <c r="B797" s="9"/>
      <c r="C797" s="4"/>
      <c r="D797" s="5"/>
      <c r="E797" s="6"/>
    </row>
    <row r="798" spans="2:5" x14ac:dyDescent="0.2">
      <c r="B798" s="9"/>
      <c r="C798" s="4"/>
      <c r="D798" s="5"/>
      <c r="E798" s="6"/>
    </row>
    <row r="799" spans="2:5" x14ac:dyDescent="0.2">
      <c r="B799" s="9"/>
      <c r="C799" s="4"/>
      <c r="D799" s="5"/>
      <c r="E799" s="6"/>
    </row>
    <row r="800" spans="2:5" x14ac:dyDescent="0.2">
      <c r="B800" s="9"/>
      <c r="C800" s="4"/>
      <c r="D800" s="5"/>
      <c r="E800" s="6"/>
    </row>
    <row r="801" spans="2:5" x14ac:dyDescent="0.2">
      <c r="B801" s="9"/>
      <c r="C801" s="4"/>
      <c r="D801" s="5"/>
      <c r="E801" s="6"/>
    </row>
    <row r="802" spans="2:5" x14ac:dyDescent="0.2">
      <c r="B802" s="9"/>
      <c r="C802" s="4"/>
      <c r="D802" s="5"/>
      <c r="E802" s="6"/>
    </row>
    <row r="803" spans="2:5" x14ac:dyDescent="0.2">
      <c r="B803" s="9"/>
      <c r="C803" s="4"/>
      <c r="D803" s="5"/>
      <c r="E803" s="6"/>
    </row>
    <row r="804" spans="2:5" x14ac:dyDescent="0.2">
      <c r="B804" s="9"/>
      <c r="C804" s="4"/>
      <c r="D804" s="5"/>
      <c r="E804" s="6"/>
    </row>
    <row r="805" spans="2:5" x14ac:dyDescent="0.2">
      <c r="B805" s="9"/>
      <c r="C805" s="4"/>
      <c r="D805" s="5"/>
      <c r="E805" s="6"/>
    </row>
    <row r="806" spans="2:5" x14ac:dyDescent="0.2">
      <c r="B806" s="9"/>
      <c r="C806" s="4"/>
      <c r="D806" s="5"/>
      <c r="E806" s="6"/>
    </row>
    <row r="807" spans="2:5" x14ac:dyDescent="0.2">
      <c r="B807" s="9"/>
      <c r="C807" s="4"/>
      <c r="D807" s="5"/>
      <c r="E807" s="6"/>
    </row>
    <row r="808" spans="2:5" x14ac:dyDescent="0.2">
      <c r="B808" s="9"/>
      <c r="C808" s="4"/>
      <c r="D808" s="5"/>
      <c r="E808" s="6"/>
    </row>
    <row r="809" spans="2:5" x14ac:dyDescent="0.2">
      <c r="B809" s="9"/>
      <c r="C809" s="4"/>
      <c r="D809" s="5"/>
      <c r="E809" s="6"/>
    </row>
    <row r="810" spans="2:5" x14ac:dyDescent="0.2">
      <c r="B810" s="9"/>
      <c r="C810" s="4"/>
      <c r="D810" s="5"/>
      <c r="E810" s="6"/>
    </row>
    <row r="811" spans="2:5" x14ac:dyDescent="0.2">
      <c r="B811" s="9"/>
      <c r="C811" s="4"/>
      <c r="D811" s="5"/>
      <c r="E811" s="6"/>
    </row>
    <row r="812" spans="2:5" x14ac:dyDescent="0.2">
      <c r="B812" s="9"/>
      <c r="C812" s="4"/>
      <c r="D812" s="5"/>
      <c r="E812" s="6"/>
    </row>
    <row r="813" spans="2:5" x14ac:dyDescent="0.2">
      <c r="B813" s="9"/>
      <c r="C813" s="4"/>
      <c r="D813" s="5"/>
      <c r="E813" s="6"/>
    </row>
    <row r="814" spans="2:5" x14ac:dyDescent="0.2">
      <c r="B814" s="9"/>
      <c r="C814" s="4"/>
      <c r="D814" s="5"/>
      <c r="E814" s="6"/>
    </row>
    <row r="815" spans="2:5" x14ac:dyDescent="0.2">
      <c r="B815" s="9"/>
      <c r="C815" s="4"/>
      <c r="D815" s="5"/>
      <c r="E815" s="6"/>
    </row>
    <row r="816" spans="2:5" x14ac:dyDescent="0.2">
      <c r="B816" s="9"/>
      <c r="C816" s="4"/>
      <c r="D816" s="5"/>
      <c r="E816" s="6"/>
    </row>
    <row r="817" spans="2:5" x14ac:dyDescent="0.2">
      <c r="B817" s="9"/>
      <c r="C817" s="4"/>
      <c r="D817" s="5"/>
      <c r="E817" s="6"/>
    </row>
    <row r="818" spans="2:5" x14ac:dyDescent="0.2">
      <c r="B818" s="9"/>
      <c r="C818" s="4"/>
      <c r="D818" s="5"/>
      <c r="E818" s="6"/>
    </row>
    <row r="819" spans="2:5" x14ac:dyDescent="0.2">
      <c r="B819" s="9"/>
      <c r="C819" s="4"/>
      <c r="D819" s="5"/>
      <c r="E819" s="6"/>
    </row>
    <row r="820" spans="2:5" x14ac:dyDescent="0.2">
      <c r="B820" s="9"/>
      <c r="C820" s="4"/>
      <c r="D820" s="5"/>
      <c r="E820" s="6"/>
    </row>
    <row r="821" spans="2:5" x14ac:dyDescent="0.2">
      <c r="B821" s="9"/>
      <c r="C821" s="4"/>
      <c r="D821" s="5"/>
      <c r="E821" s="6"/>
    </row>
    <row r="822" spans="2:5" x14ac:dyDescent="0.2">
      <c r="B822" s="9"/>
      <c r="C822" s="4"/>
      <c r="D822" s="5"/>
      <c r="E822" s="6"/>
    </row>
    <row r="823" spans="2:5" x14ac:dyDescent="0.2">
      <c r="B823" s="9"/>
      <c r="C823" s="4"/>
      <c r="D823" s="5"/>
      <c r="E823" s="6"/>
    </row>
    <row r="824" spans="2:5" x14ac:dyDescent="0.2">
      <c r="B824" s="9"/>
      <c r="C824" s="4"/>
      <c r="D824" s="5"/>
      <c r="E824" s="6"/>
    </row>
    <row r="825" spans="2:5" x14ac:dyDescent="0.2">
      <c r="B825" s="9"/>
      <c r="C825" s="4"/>
      <c r="D825" s="5"/>
      <c r="E825" s="6"/>
    </row>
    <row r="826" spans="2:5" x14ac:dyDescent="0.2">
      <c r="B826" s="9"/>
      <c r="C826" s="4"/>
      <c r="D826" s="5"/>
      <c r="E826" s="6"/>
    </row>
    <row r="827" spans="2:5" x14ac:dyDescent="0.2">
      <c r="B827" s="9"/>
      <c r="C827" s="4"/>
      <c r="D827" s="5"/>
      <c r="E827" s="6"/>
    </row>
    <row r="828" spans="2:5" x14ac:dyDescent="0.2">
      <c r="B828" s="9"/>
      <c r="C828" s="4"/>
      <c r="D828" s="5"/>
      <c r="E828" s="6"/>
    </row>
    <row r="829" spans="2:5" x14ac:dyDescent="0.2">
      <c r="B829" s="9"/>
      <c r="C829" s="4"/>
      <c r="D829" s="5"/>
      <c r="E829" s="6"/>
    </row>
    <row r="830" spans="2:5" x14ac:dyDescent="0.2">
      <c r="B830" s="9"/>
      <c r="C830" s="4"/>
      <c r="D830" s="5"/>
      <c r="E830" s="6"/>
    </row>
    <row r="831" spans="2:5" x14ac:dyDescent="0.2">
      <c r="B831" s="9"/>
      <c r="C831" s="4"/>
      <c r="D831" s="5"/>
      <c r="E831" s="6"/>
    </row>
    <row r="832" spans="2:5" x14ac:dyDescent="0.2">
      <c r="B832" s="9"/>
      <c r="C832" s="4"/>
      <c r="D832" s="5"/>
      <c r="E832" s="6"/>
    </row>
    <row r="833" spans="2:5" x14ac:dyDescent="0.2">
      <c r="B833" s="9"/>
      <c r="C833" s="4"/>
      <c r="D833" s="5"/>
      <c r="E833" s="6"/>
    </row>
    <row r="834" spans="2:5" x14ac:dyDescent="0.2">
      <c r="B834" s="9"/>
      <c r="C834" s="4"/>
      <c r="D834" s="5"/>
      <c r="E834" s="6"/>
    </row>
    <row r="835" spans="2:5" x14ac:dyDescent="0.2">
      <c r="B835" s="9"/>
      <c r="C835" s="4"/>
      <c r="D835" s="5"/>
      <c r="E835" s="6"/>
    </row>
    <row r="836" spans="2:5" x14ac:dyDescent="0.2">
      <c r="B836" s="9"/>
      <c r="C836" s="4"/>
      <c r="D836" s="5"/>
      <c r="E836" s="6"/>
    </row>
    <row r="837" spans="2:5" x14ac:dyDescent="0.2">
      <c r="B837" s="9"/>
      <c r="C837" s="4"/>
      <c r="D837" s="5"/>
      <c r="E837" s="6"/>
    </row>
    <row r="838" spans="2:5" x14ac:dyDescent="0.2">
      <c r="B838" s="9"/>
      <c r="C838" s="4"/>
      <c r="D838" s="5"/>
      <c r="E838" s="6"/>
    </row>
    <row r="839" spans="2:5" x14ac:dyDescent="0.2">
      <c r="B839" s="9"/>
      <c r="C839" s="4"/>
      <c r="D839" s="5"/>
      <c r="E839" s="6"/>
    </row>
    <row r="840" spans="2:5" x14ac:dyDescent="0.2">
      <c r="B840" s="9"/>
      <c r="C840" s="4"/>
      <c r="D840" s="5"/>
      <c r="E840" s="6"/>
    </row>
    <row r="841" spans="2:5" x14ac:dyDescent="0.2">
      <c r="B841" s="9"/>
      <c r="C841" s="4"/>
      <c r="D841" s="5"/>
      <c r="E841" s="6"/>
    </row>
    <row r="842" spans="2:5" x14ac:dyDescent="0.2">
      <c r="B842" s="9"/>
      <c r="C842" s="4"/>
      <c r="D842" s="5"/>
      <c r="E842" s="6"/>
    </row>
    <row r="843" spans="2:5" x14ac:dyDescent="0.2">
      <c r="B843" s="9"/>
      <c r="C843" s="4"/>
      <c r="D843" s="5"/>
      <c r="E843" s="6"/>
    </row>
    <row r="844" spans="2:5" x14ac:dyDescent="0.2">
      <c r="B844" s="9"/>
      <c r="C844" s="4"/>
      <c r="D844" s="5"/>
      <c r="E844" s="6"/>
    </row>
    <row r="845" spans="2:5" x14ac:dyDescent="0.2">
      <c r="B845" s="9"/>
      <c r="C845" s="4"/>
      <c r="D845" s="5"/>
      <c r="E845" s="6"/>
    </row>
    <row r="846" spans="2:5" x14ac:dyDescent="0.2">
      <c r="B846" s="9"/>
      <c r="C846" s="4"/>
      <c r="D846" s="5"/>
      <c r="E846" s="6"/>
    </row>
    <row r="847" spans="2:5" x14ac:dyDescent="0.2">
      <c r="B847" s="9"/>
      <c r="C847" s="4"/>
      <c r="D847" s="5"/>
      <c r="E847" s="6"/>
    </row>
    <row r="848" spans="2:5" x14ac:dyDescent="0.2">
      <c r="B848" s="9"/>
      <c r="C848" s="4"/>
      <c r="D848" s="5"/>
      <c r="E848" s="6"/>
    </row>
    <row r="849" spans="2:5" x14ac:dyDescent="0.2">
      <c r="B849" s="9"/>
      <c r="C849" s="4"/>
      <c r="D849" s="5"/>
      <c r="E849" s="6"/>
    </row>
    <row r="850" spans="2:5" x14ac:dyDescent="0.2">
      <c r="B850" s="9"/>
      <c r="C850" s="4"/>
      <c r="D850" s="5"/>
      <c r="E850" s="6"/>
    </row>
    <row r="851" spans="2:5" x14ac:dyDescent="0.2">
      <c r="B851" s="9"/>
      <c r="C851" s="4"/>
      <c r="D851" s="5"/>
      <c r="E851" s="6"/>
    </row>
    <row r="852" spans="2:5" x14ac:dyDescent="0.2">
      <c r="B852" s="9"/>
      <c r="C852" s="4"/>
      <c r="D852" s="5"/>
      <c r="E852" s="6"/>
    </row>
    <row r="853" spans="2:5" x14ac:dyDescent="0.2">
      <c r="B853" s="9"/>
      <c r="C853" s="4"/>
      <c r="D853" s="5"/>
      <c r="E853" s="6"/>
    </row>
    <row r="854" spans="2:5" x14ac:dyDescent="0.2">
      <c r="B854" s="9"/>
      <c r="C854" s="4"/>
      <c r="D854" s="5"/>
      <c r="E854" s="6"/>
    </row>
    <row r="855" spans="2:5" x14ac:dyDescent="0.2">
      <c r="B855" s="9"/>
      <c r="C855" s="4"/>
      <c r="D855" s="5"/>
      <c r="E855" s="6"/>
    </row>
    <row r="856" spans="2:5" x14ac:dyDescent="0.2">
      <c r="B856" s="9"/>
      <c r="C856" s="4"/>
      <c r="D856" s="5"/>
      <c r="E856" s="6"/>
    </row>
    <row r="857" spans="2:5" x14ac:dyDescent="0.2">
      <c r="B857" s="9"/>
      <c r="C857" s="4"/>
      <c r="D857" s="5"/>
      <c r="E857" s="6"/>
    </row>
    <row r="858" spans="2:5" x14ac:dyDescent="0.2">
      <c r="B858" s="9"/>
      <c r="C858" s="4"/>
      <c r="D858" s="5"/>
      <c r="E858" s="6"/>
    </row>
    <row r="859" spans="2:5" x14ac:dyDescent="0.2">
      <c r="B859" s="9"/>
      <c r="C859" s="4"/>
      <c r="D859" s="5"/>
      <c r="E859" s="6"/>
    </row>
    <row r="860" spans="2:5" x14ac:dyDescent="0.2">
      <c r="B860" s="9"/>
      <c r="C860" s="4"/>
      <c r="D860" s="5"/>
      <c r="E860" s="6"/>
    </row>
    <row r="861" spans="2:5" x14ac:dyDescent="0.2">
      <c r="B861" s="9"/>
      <c r="C861" s="4"/>
      <c r="D861" s="5"/>
      <c r="E861" s="6"/>
    </row>
    <row r="862" spans="2:5" x14ac:dyDescent="0.2">
      <c r="B862" s="9"/>
      <c r="C862" s="4"/>
      <c r="D862" s="5"/>
      <c r="E862" s="6"/>
    </row>
    <row r="863" spans="2:5" x14ac:dyDescent="0.2">
      <c r="B863" s="9"/>
      <c r="C863" s="4"/>
      <c r="D863" s="5"/>
      <c r="E863" s="6"/>
    </row>
    <row r="864" spans="2:5" x14ac:dyDescent="0.2">
      <c r="B864" s="9"/>
      <c r="C864" s="4"/>
      <c r="D864" s="5"/>
      <c r="E864" s="6"/>
    </row>
    <row r="865" spans="2:5" x14ac:dyDescent="0.2">
      <c r="B865" s="9"/>
      <c r="C865" s="4"/>
      <c r="D865" s="5"/>
      <c r="E865" s="6"/>
    </row>
    <row r="866" spans="2:5" x14ac:dyDescent="0.2">
      <c r="B866" s="9"/>
      <c r="C866" s="4"/>
      <c r="D866" s="5"/>
      <c r="E866" s="6"/>
    </row>
    <row r="867" spans="2:5" x14ac:dyDescent="0.2">
      <c r="B867" s="9"/>
      <c r="C867" s="4"/>
      <c r="D867" s="5"/>
      <c r="E867" s="6"/>
    </row>
    <row r="868" spans="2:5" x14ac:dyDescent="0.2">
      <c r="B868" s="9"/>
      <c r="C868" s="4"/>
      <c r="D868" s="5"/>
      <c r="E868" s="6"/>
    </row>
    <row r="869" spans="2:5" x14ac:dyDescent="0.2">
      <c r="B869" s="9"/>
      <c r="C869" s="4"/>
      <c r="D869" s="5"/>
      <c r="E869" s="6"/>
    </row>
    <row r="870" spans="2:5" x14ac:dyDescent="0.2">
      <c r="B870" s="9"/>
      <c r="C870" s="4"/>
      <c r="D870" s="5"/>
      <c r="E870" s="6"/>
    </row>
    <row r="871" spans="2:5" x14ac:dyDescent="0.2">
      <c r="B871" s="9"/>
      <c r="C871" s="4"/>
      <c r="D871" s="5"/>
      <c r="E871" s="6"/>
    </row>
    <row r="872" spans="2:5" x14ac:dyDescent="0.2">
      <c r="B872" s="9"/>
      <c r="C872" s="4"/>
      <c r="D872" s="5"/>
      <c r="E872" s="6"/>
    </row>
    <row r="873" spans="2:5" x14ac:dyDescent="0.2">
      <c r="B873" s="9"/>
      <c r="C873" s="4"/>
      <c r="D873" s="5"/>
      <c r="E873" s="6"/>
    </row>
    <row r="874" spans="2:5" x14ac:dyDescent="0.2">
      <c r="B874" s="9"/>
      <c r="C874" s="4"/>
      <c r="D874" s="5"/>
      <c r="E874" s="6"/>
    </row>
    <row r="875" spans="2:5" x14ac:dyDescent="0.2">
      <c r="B875" s="9"/>
      <c r="C875" s="4"/>
      <c r="D875" s="5"/>
      <c r="E875" s="6"/>
    </row>
    <row r="876" spans="2:5" x14ac:dyDescent="0.2">
      <c r="B876" s="9"/>
      <c r="C876" s="4"/>
      <c r="D876" s="5"/>
      <c r="E876" s="6"/>
    </row>
    <row r="877" spans="2:5" x14ac:dyDescent="0.2">
      <c r="B877" s="9"/>
      <c r="C877" s="4"/>
      <c r="D877" s="5"/>
      <c r="E877" s="6"/>
    </row>
    <row r="878" spans="2:5" x14ac:dyDescent="0.2">
      <c r="B878" s="9"/>
      <c r="C878" s="4"/>
      <c r="D878" s="5"/>
      <c r="E878" s="6"/>
    </row>
    <row r="879" spans="2:5" x14ac:dyDescent="0.2">
      <c r="B879" s="9"/>
      <c r="C879" s="4"/>
      <c r="D879" s="5"/>
      <c r="E879" s="6"/>
    </row>
    <row r="880" spans="2:5" x14ac:dyDescent="0.2">
      <c r="B880" s="9"/>
      <c r="C880" s="4"/>
      <c r="D880" s="5"/>
      <c r="E880" s="6"/>
    </row>
    <row r="881" spans="2:5" x14ac:dyDescent="0.2">
      <c r="B881" s="9"/>
      <c r="C881" s="4"/>
      <c r="D881" s="5"/>
      <c r="E881" s="6"/>
    </row>
    <row r="882" spans="2:5" x14ac:dyDescent="0.2">
      <c r="B882" s="9"/>
      <c r="C882" s="4"/>
      <c r="D882" s="5"/>
      <c r="E882" s="6"/>
    </row>
    <row r="883" spans="2:5" x14ac:dyDescent="0.2">
      <c r="B883" s="9"/>
      <c r="C883" s="4"/>
      <c r="D883" s="5"/>
      <c r="E883" s="6"/>
    </row>
    <row r="884" spans="2:5" x14ac:dyDescent="0.2">
      <c r="B884" s="9"/>
      <c r="C884" s="4"/>
      <c r="D884" s="5"/>
      <c r="E884" s="6"/>
    </row>
    <row r="885" spans="2:5" x14ac:dyDescent="0.2">
      <c r="B885" s="9"/>
      <c r="C885" s="4"/>
      <c r="D885" s="5"/>
      <c r="E885" s="6"/>
    </row>
    <row r="886" spans="2:5" x14ac:dyDescent="0.2">
      <c r="B886" s="9"/>
      <c r="C886" s="4"/>
      <c r="D886" s="5"/>
      <c r="E886" s="6"/>
    </row>
    <row r="887" spans="2:5" x14ac:dyDescent="0.2">
      <c r="B887" s="9"/>
      <c r="C887" s="4"/>
      <c r="D887" s="5"/>
      <c r="E887" s="6"/>
    </row>
    <row r="888" spans="2:5" x14ac:dyDescent="0.2">
      <c r="B888" s="9"/>
      <c r="C888" s="4"/>
      <c r="D888" s="5"/>
      <c r="E888" s="6"/>
    </row>
    <row r="889" spans="2:5" x14ac:dyDescent="0.2">
      <c r="B889" s="9"/>
      <c r="C889" s="4"/>
      <c r="D889" s="5"/>
      <c r="E889" s="6"/>
    </row>
    <row r="890" spans="2:5" x14ac:dyDescent="0.2">
      <c r="B890" s="9"/>
      <c r="C890" s="4"/>
      <c r="D890" s="5"/>
      <c r="E890" s="6"/>
    </row>
    <row r="891" spans="2:5" x14ac:dyDescent="0.2">
      <c r="B891" s="9"/>
      <c r="C891" s="4"/>
      <c r="D891" s="5"/>
      <c r="E891" s="6"/>
    </row>
    <row r="892" spans="2:5" x14ac:dyDescent="0.2">
      <c r="B892" s="9"/>
      <c r="C892" s="4"/>
      <c r="D892" s="5"/>
      <c r="E892" s="6"/>
    </row>
    <row r="893" spans="2:5" x14ac:dyDescent="0.2">
      <c r="B893" s="9"/>
      <c r="C893" s="4"/>
      <c r="D893" s="5"/>
      <c r="E893" s="6"/>
    </row>
    <row r="894" spans="2:5" x14ac:dyDescent="0.2">
      <c r="B894" s="9"/>
      <c r="C894" s="4"/>
      <c r="D894" s="5"/>
      <c r="E894" s="6"/>
    </row>
    <row r="895" spans="2:5" x14ac:dyDescent="0.2">
      <c r="B895" s="9"/>
      <c r="C895" s="4"/>
      <c r="D895" s="5"/>
      <c r="E895" s="6"/>
    </row>
    <row r="896" spans="2:5" x14ac:dyDescent="0.2">
      <c r="B896" s="9"/>
      <c r="C896" s="4"/>
      <c r="D896" s="5"/>
      <c r="E896" s="6"/>
    </row>
    <row r="897" spans="2:5" x14ac:dyDescent="0.2">
      <c r="B897" s="9"/>
      <c r="C897" s="4"/>
      <c r="D897" s="5"/>
      <c r="E897" s="6"/>
    </row>
    <row r="898" spans="2:5" x14ac:dyDescent="0.2">
      <c r="B898" s="9"/>
      <c r="C898" s="4"/>
      <c r="D898" s="5"/>
      <c r="E898" s="6"/>
    </row>
    <row r="899" spans="2:5" x14ac:dyDescent="0.2">
      <c r="B899" s="9"/>
      <c r="C899" s="4"/>
      <c r="D899" s="5"/>
      <c r="E899" s="6"/>
    </row>
    <row r="900" spans="2:5" x14ac:dyDescent="0.2">
      <c r="B900" s="9"/>
      <c r="C900" s="4"/>
      <c r="D900" s="5"/>
      <c r="E900" s="6"/>
    </row>
    <row r="901" spans="2:5" x14ac:dyDescent="0.2">
      <c r="B901" s="9"/>
      <c r="C901" s="4"/>
      <c r="D901" s="5"/>
      <c r="E901" s="6"/>
    </row>
    <row r="902" spans="2:5" x14ac:dyDescent="0.2">
      <c r="B902" s="9"/>
      <c r="C902" s="4"/>
      <c r="D902" s="5"/>
      <c r="E902" s="6"/>
    </row>
    <row r="903" spans="2:5" x14ac:dyDescent="0.2">
      <c r="B903" s="9"/>
      <c r="C903" s="4"/>
      <c r="D903" s="5"/>
      <c r="E903" s="6"/>
    </row>
    <row r="904" spans="2:5" x14ac:dyDescent="0.2">
      <c r="B904" s="9"/>
      <c r="C904" s="4"/>
      <c r="D904" s="5"/>
      <c r="E904" s="6"/>
    </row>
    <row r="905" spans="2:5" x14ac:dyDescent="0.2">
      <c r="B905" s="9"/>
      <c r="C905" s="4"/>
      <c r="D905" s="5"/>
      <c r="E905" s="6"/>
    </row>
    <row r="906" spans="2:5" x14ac:dyDescent="0.2">
      <c r="B906" s="9"/>
      <c r="C906" s="4"/>
      <c r="D906" s="5"/>
      <c r="E906" s="6"/>
    </row>
    <row r="907" spans="2:5" x14ac:dyDescent="0.2">
      <c r="B907" s="9"/>
      <c r="C907" s="4"/>
      <c r="D907" s="5"/>
      <c r="E907" s="6"/>
    </row>
    <row r="908" spans="2:5" x14ac:dyDescent="0.2">
      <c r="B908" s="9"/>
      <c r="C908" s="4"/>
      <c r="D908" s="5"/>
      <c r="E908" s="6"/>
    </row>
    <row r="909" spans="2:5" x14ac:dyDescent="0.2">
      <c r="B909" s="9"/>
      <c r="C909" s="4"/>
      <c r="D909" s="5"/>
      <c r="E909" s="6"/>
    </row>
    <row r="910" spans="2:5" x14ac:dyDescent="0.2">
      <c r="B910" s="9"/>
      <c r="C910" s="4"/>
      <c r="D910" s="5"/>
      <c r="E910" s="6"/>
    </row>
    <row r="911" spans="2:5" x14ac:dyDescent="0.2">
      <c r="B911" s="9"/>
      <c r="C911" s="4"/>
      <c r="D911" s="5"/>
      <c r="E911" s="6"/>
    </row>
    <row r="912" spans="2:5" x14ac:dyDescent="0.2">
      <c r="B912" s="9"/>
      <c r="C912" s="4"/>
      <c r="D912" s="5"/>
      <c r="E912" s="6"/>
    </row>
    <row r="913" spans="2:5" x14ac:dyDescent="0.2">
      <c r="B913" s="9"/>
      <c r="C913" s="4"/>
      <c r="D913" s="5"/>
      <c r="E913" s="6"/>
    </row>
    <row r="914" spans="2:5" x14ac:dyDescent="0.2">
      <c r="B914" s="9"/>
      <c r="C914" s="4"/>
      <c r="D914" s="5"/>
      <c r="E914" s="6"/>
    </row>
    <row r="915" spans="2:5" x14ac:dyDescent="0.2">
      <c r="B915" s="9"/>
      <c r="C915" s="4"/>
      <c r="D915" s="5"/>
      <c r="E915" s="6"/>
    </row>
    <row r="916" spans="2:5" x14ac:dyDescent="0.2">
      <c r="B916" s="9"/>
      <c r="C916" s="4"/>
      <c r="D916" s="5"/>
      <c r="E916" s="6"/>
    </row>
  </sheetData>
  <mergeCells count="6">
    <mergeCell ref="B19:E19"/>
    <mergeCell ref="G19:J19"/>
    <mergeCell ref="L19:O19"/>
    <mergeCell ref="B39:E39"/>
    <mergeCell ref="G39:J39"/>
    <mergeCell ref="L39:O39"/>
  </mergeCells>
  <conditionalFormatting sqref="B22:B38 B57:B916">
    <cfRule type="cellIs" dxfId="6" priority="11" stopIfTrue="1" operator="equal">
      <formula>"A"</formula>
    </cfRule>
  </conditionalFormatting>
  <conditionalFormatting sqref="G22:G33">
    <cfRule type="cellIs" dxfId="5" priority="5" stopIfTrue="1" operator="equal">
      <formula>"A"</formula>
    </cfRule>
  </conditionalFormatting>
  <conditionalFormatting sqref="B54:B56">
    <cfRule type="cellIs" dxfId="4" priority="8" stopIfTrue="1" operator="equal">
      <formula>"A"</formula>
    </cfRule>
  </conditionalFormatting>
  <conditionalFormatting sqref="L42:L53">
    <cfRule type="cellIs" dxfId="3" priority="1" stopIfTrue="1" operator="equal">
      <formula>"A"</formula>
    </cfRule>
  </conditionalFormatting>
  <conditionalFormatting sqref="L22:L33">
    <cfRule type="cellIs" dxfId="2" priority="4" stopIfTrue="1" operator="equal">
      <formula>"A"</formula>
    </cfRule>
  </conditionalFormatting>
  <conditionalFormatting sqref="B42:B53">
    <cfRule type="cellIs" dxfId="1" priority="3" stopIfTrue="1" operator="equal">
      <formula>"A"</formula>
    </cfRule>
  </conditionalFormatting>
  <conditionalFormatting sqref="G42:G53">
    <cfRule type="cellIs" dxfId="0" priority="2" stopIfTrue="1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7"/>
  <sheetViews>
    <sheetView workbookViewId="0">
      <selection activeCell="B10" sqref="A1:B10"/>
    </sheetView>
  </sheetViews>
  <sheetFormatPr baseColWidth="10" defaultColWidth="8.83203125" defaultRowHeight="15" x14ac:dyDescent="0.2"/>
  <cols>
    <col min="1" max="1" width="17.33203125" bestFit="1" customWidth="1"/>
    <col min="3" max="3" width="12.5" bestFit="1" customWidth="1"/>
  </cols>
  <sheetData>
    <row r="2" spans="1:3" x14ac:dyDescent="0.2">
      <c r="A2" s="22"/>
    </row>
    <row r="5" spans="1:3" x14ac:dyDescent="0.2">
      <c r="A5" s="22"/>
    </row>
    <row r="7" spans="1:3" x14ac:dyDescent="0.2">
      <c r="C7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Bolåneberäkningar</vt:lpstr>
      <vt:lpstr>grafer</vt:lpstr>
      <vt:lpstr>Högre räntor</vt:lpstr>
      <vt:lpstr>Present values</vt:lpstr>
      <vt:lpstr>Sheet4</vt:lpstr>
    </vt:vector>
  </TitlesOfParts>
  <Company>LDC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Claes Bäckman</dc:creator>
  <cp:lastModifiedBy>Microsoft Office User</cp:lastModifiedBy>
  <dcterms:created xsi:type="dcterms:W3CDTF">2018-09-25T08:05:17Z</dcterms:created>
  <dcterms:modified xsi:type="dcterms:W3CDTF">2019-09-09T16:16:25Z</dcterms:modified>
</cp:coreProperties>
</file>